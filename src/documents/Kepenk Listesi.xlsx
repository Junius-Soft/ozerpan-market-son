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770"/>
  </bookViews>
  <sheets>
    <sheet name="Lamel Bileşenleri" sheetId="3" r:id="rId1"/>
    <sheet name="Kutu Bileşenleri" sheetId="6" r:id="rId2"/>
    <sheet name="Dikme Bileşenleri" sheetId="9" r:id="rId3"/>
    <sheet name="Motorlar ve Kontrol Grubu" sheetId="10" r:id="rId4"/>
  </sheets>
  <calcPr calcId="152511"/>
</workbook>
</file>

<file path=xl/sharedStrings.xml><?xml version="1.0" encoding="utf-8"?>
<sst xmlns="http://schemas.openxmlformats.org/spreadsheetml/2006/main" count="835" uniqueCount="304">
  <si>
    <t>Açıklama</t>
  </si>
  <si>
    <t>Malzeme Adı</t>
  </si>
  <si>
    <t>Lamel Tipi</t>
  </si>
  <si>
    <t>Ürün Grubu</t>
  </si>
  <si>
    <t>Kepenk Lamel Profilleri</t>
  </si>
  <si>
    <t>Tedarikçi kodu</t>
  </si>
  <si>
    <t>Tedarikçi Firma</t>
  </si>
  <si>
    <t>Özdil Panjur</t>
  </si>
  <si>
    <t>Kapama Yüzeyi 
(mm)</t>
  </si>
  <si>
    <t>SL.077.XX.AWH</t>
  </si>
  <si>
    <t xml:space="preserve">77 mm Alüminyum Poliüretanlı Lamel </t>
  </si>
  <si>
    <t>Nominal Kalınlık
(mm)</t>
  </si>
  <si>
    <t>Azami Genişlik
(mm)</t>
  </si>
  <si>
    <t>Azami Yükseklik
(mm)</t>
  </si>
  <si>
    <t>Azami Kullanım Alanı (m2)</t>
  </si>
  <si>
    <t>Profil Adedi
(1 mt için)</t>
  </si>
  <si>
    <t>35311270XXXX</t>
  </si>
  <si>
    <t>Stok Kodu
(Son Dört Hane Renk Kodu)</t>
  </si>
  <si>
    <t>Ağılık 
(m2/kg.)</t>
  </si>
  <si>
    <t>35311370XXXX</t>
  </si>
  <si>
    <t xml:space="preserve">77 mm Alüminyum Ekstrüzyon Lamel </t>
  </si>
  <si>
    <t>SE.077.XX.EXT</t>
  </si>
  <si>
    <t>77 mm Çelik Poliüretanlı Lamel</t>
  </si>
  <si>
    <t>ST.077.XX.0BF</t>
  </si>
  <si>
    <t>35311570XXXX</t>
  </si>
  <si>
    <t>100 mm Çelik Poliüretanlı Lamel</t>
  </si>
  <si>
    <t>100 mm Alüminyum Poliüretanlı Lamel</t>
  </si>
  <si>
    <t>35311470XXXX</t>
  </si>
  <si>
    <t>35311580XXXX</t>
  </si>
  <si>
    <t>35311280XXXX</t>
  </si>
  <si>
    <t>78 mm Alüminyum Gözlü Lamel</t>
  </si>
  <si>
    <t>SE.078.XX.EXP</t>
  </si>
  <si>
    <t>SL.100.XX.AWH</t>
  </si>
  <si>
    <t>ST.100.XX.AWH</t>
  </si>
  <si>
    <t>Panjur Tambur Boru Aksesuarları</t>
  </si>
  <si>
    <t>Kepenk Alt Parça Profilleri</t>
  </si>
  <si>
    <t>Kepenk Dikme Profilleri</t>
  </si>
  <si>
    <t>Kepenk Kutu Profilleri</t>
  </si>
  <si>
    <t>Kepenk Lamel Aksesuarları</t>
  </si>
  <si>
    <t>Kepenk Alt Parça Aksesuarları</t>
  </si>
  <si>
    <t>Kepenk Dikme Aksesuarları</t>
  </si>
  <si>
    <t>Kepenk Kutu Aksesuarları</t>
  </si>
  <si>
    <t>Kepenk Motorları</t>
  </si>
  <si>
    <t>Otomasyon Kumandalar</t>
  </si>
  <si>
    <t>Ağılık 
(Mtül.)</t>
  </si>
  <si>
    <t>Alüminyum
Gizli Kutu</t>
  </si>
  <si>
    <t>Kutu Tipi</t>
  </si>
  <si>
    <t>Alüminyum</t>
  </si>
  <si>
    <t>Alüminyum Kutu Kit</t>
  </si>
  <si>
    <t>En (mm)</t>
  </si>
  <si>
    <t>Boy (mm)</t>
  </si>
  <si>
    <t>Kutu İçi Genişlik
(mm)</t>
  </si>
  <si>
    <t>Alüminyum Kutu Bileşen</t>
  </si>
  <si>
    <t>Kullanılacak
 Panjur Tipi</t>
  </si>
  <si>
    <t>Kullanılacak
Dikme Grubu</t>
  </si>
  <si>
    <t>Maxi</t>
  </si>
  <si>
    <t>Mega</t>
  </si>
  <si>
    <t>35314111XXXX</t>
  </si>
  <si>
    <t>35314112XXXX</t>
  </si>
  <si>
    <t>35314113XXXX</t>
  </si>
  <si>
    <t>35314131XXXX</t>
  </si>
  <si>
    <t>35314132XXXX</t>
  </si>
  <si>
    <t>35314133XXXX</t>
  </si>
  <si>
    <t>35314141XXXX</t>
  </si>
  <si>
    <t>35314142XXXX</t>
  </si>
  <si>
    <t>35314143XXXX</t>
  </si>
  <si>
    <t>35314144XXX</t>
  </si>
  <si>
    <t xml:space="preserve">300 Alüminyum Kutu Kit </t>
  </si>
  <si>
    <t xml:space="preserve">300 - ARKA 90 Alüminyum Kutu </t>
  </si>
  <si>
    <t>300 - ÖN 45 Alüminyum Kutu</t>
  </si>
  <si>
    <t xml:space="preserve">350 - ARKA 90 Alüminyum Kutu </t>
  </si>
  <si>
    <t xml:space="preserve">350 - ÖN 45 Alüminyum Kutu </t>
  </si>
  <si>
    <t xml:space="preserve">400 Alüminyum Kutu Kit </t>
  </si>
  <si>
    <t xml:space="preserve">400 - ARKA 90 Alüminyum Kutu </t>
  </si>
  <si>
    <t xml:space="preserve">400 - ÖN 45 Alüminyum Kutu </t>
  </si>
  <si>
    <t xml:space="preserve">400 - ÜST 90 Alüminyum Kutu </t>
  </si>
  <si>
    <t>Alenda</t>
  </si>
  <si>
    <t>Hareket Tipi</t>
  </si>
  <si>
    <t>PROFİLLER</t>
  </si>
  <si>
    <t>Motorlu</t>
  </si>
  <si>
    <t>Redüktörlü</t>
  </si>
  <si>
    <t>Alıcılı</t>
  </si>
  <si>
    <t>Mosel</t>
  </si>
  <si>
    <t>Lamel Düşme Değeri (mm)</t>
  </si>
  <si>
    <t>Dikme Grubu</t>
  </si>
  <si>
    <t>77'lik Dikme 100 mm</t>
  </si>
  <si>
    <t>77 mm Çelik Poliüretanlı Lamel
77 mm Alüminyum Poliüretanlı Lamel 
77 mm Alüminyum Ekstrüzyon Lamel 
78 mm Alüminyum Gözlü Lamel</t>
  </si>
  <si>
    <t>ELC Alüminyum</t>
  </si>
  <si>
    <t>100'lük Dikme 140 mm</t>
  </si>
  <si>
    <t>3531317XXXX</t>
  </si>
  <si>
    <t>35313181XXXX</t>
  </si>
  <si>
    <t>100 mm Alüminyum Poliüretanlı Lamel
100 mm Çelik Poliüretanlı Lamel</t>
  </si>
  <si>
    <t>-</t>
  </si>
  <si>
    <t>35312170XXXX</t>
  </si>
  <si>
    <t xml:space="preserve">77'lik Alt Parça </t>
  </si>
  <si>
    <t xml:space="preserve">ELC Alüminyum </t>
  </si>
  <si>
    <t>4457-1</t>
  </si>
  <si>
    <t>ES.133.XX.XAP</t>
  </si>
  <si>
    <t>4806-2</t>
  </si>
  <si>
    <t>35312180XXXX</t>
  </si>
  <si>
    <t>100'lük Alt Parça</t>
  </si>
  <si>
    <t>AKSESUARLAR</t>
  </si>
  <si>
    <t>LAMEL AKSESUARLARI</t>
  </si>
  <si>
    <t>PVC TAPA SL ST-77</t>
  </si>
  <si>
    <t>PVC TAPA ST-100</t>
  </si>
  <si>
    <t>PVC TAPA SE-77 EXT</t>
  </si>
  <si>
    <t>PVC TAPA SE-78/SL-78</t>
  </si>
  <si>
    <t>Çelik Askı 190 mm ( ST 77 )</t>
  </si>
  <si>
    <t>Çelik Askı 150 mm ( ST 100 )</t>
  </si>
  <si>
    <t>POLİKARBONAT ŞERİT CAM SE-78&amp;SE-101 İÇİN Şeffaf</t>
  </si>
  <si>
    <t>Çelik Poliüretan Dolgulu
(ST-77)</t>
  </si>
  <si>
    <t>Alüminyum Poliüretan Dolgulu
(SL-77)</t>
  </si>
  <si>
    <t>Alüminyum Extrüzyon
(SE-77 EXT)</t>
  </si>
  <si>
    <t>Alüminyum Gözlü 
(SE-78)</t>
  </si>
  <si>
    <t>Alüminyum Poliüretan Dolgulu
(SL-100)</t>
  </si>
  <si>
    <t>Çelik Poliüretan Dolgulu
(ST-100)</t>
  </si>
  <si>
    <t>SL-77, ST-77,SE-77 EXT, SE-78</t>
  </si>
  <si>
    <t>ST-100, SL-100</t>
  </si>
  <si>
    <t>SL-77, ST-77</t>
  </si>
  <si>
    <t>SE-77 EXT</t>
  </si>
  <si>
    <t>SE-78</t>
  </si>
  <si>
    <t>Keepnk Lamel Aksesuarları</t>
  </si>
  <si>
    <t>SE-78 Lamel ile aynı miktarda kullanılır</t>
  </si>
  <si>
    <t>Zımba Çivisi 8 mm</t>
  </si>
  <si>
    <t>SL-77, ST-77,SE-77 EXT, SE-78,
ST-100, SL-100</t>
  </si>
  <si>
    <t>Mega - Maxi</t>
  </si>
  <si>
    <t>LAMEL PROFİLLERİ</t>
  </si>
  <si>
    <t>ALT PARÇA PROFİLLERİ</t>
  </si>
  <si>
    <t>ALTPARÇA AKSESUARLARI</t>
  </si>
  <si>
    <t>Stok Kodu</t>
  </si>
  <si>
    <t>Metre</t>
  </si>
  <si>
    <t>Adet</t>
  </si>
  <si>
    <t>77'lik Alt Parça Lastiği Gri</t>
  </si>
  <si>
    <t>ES.GAP.00.INS</t>
  </si>
  <si>
    <t>100'lük Alt Parça Lastiği Gri</t>
  </si>
  <si>
    <t>ALF.000.00.001</t>
  </si>
  <si>
    <t>Birimi</t>
  </si>
  <si>
    <t>Takım</t>
  </si>
  <si>
    <t>KUTU PROFİLLERİ</t>
  </si>
  <si>
    <t>Panjur Tipi</t>
  </si>
  <si>
    <t>CA.077.ST.CAP</t>
  </si>
  <si>
    <t>CA.100.ST.CAP</t>
  </si>
  <si>
    <t>CA.077.SE.CAP</t>
  </si>
  <si>
    <t>CA.078.00.CAP</t>
  </si>
  <si>
    <t>SS.190.04.SCR</t>
  </si>
  <si>
    <t>SS.150.00.SCR</t>
  </si>
  <si>
    <t>CA.WIN.02.GLA</t>
  </si>
  <si>
    <t>SK.300.XX.KIT</t>
  </si>
  <si>
    <t>SK.350.XX.KIT</t>
  </si>
  <si>
    <t>SK.400.XX.KIT</t>
  </si>
  <si>
    <t>SK.300.XX.T90</t>
  </si>
  <si>
    <t>SK.350.XX.T90</t>
  </si>
  <si>
    <t>SK.400.XX.T90</t>
  </si>
  <si>
    <t>SK.300.XX.F45</t>
  </si>
  <si>
    <t>SK.350.XX.F45</t>
  </si>
  <si>
    <t>SK.400.XX.F45</t>
  </si>
  <si>
    <t>SK.400.XX.B90</t>
  </si>
  <si>
    <t>SL-39,SE-45,SL-55,
ST-55,SE-62,5</t>
  </si>
  <si>
    <t>Kepenk Tambur Boru Profilleri</t>
  </si>
  <si>
    <t>70mm Sekizgen Boru 1,0 mm</t>
  </si>
  <si>
    <t>TU.070.00.100</t>
  </si>
  <si>
    <t>102mm Boru 2,0 mm</t>
  </si>
  <si>
    <t>TU.102.GB.200</t>
  </si>
  <si>
    <t>114mm Boru 3,0 mm</t>
  </si>
  <si>
    <t>TU.114.SB.300</t>
  </si>
  <si>
    <t>Kutusuz</t>
  </si>
  <si>
    <t>Zincirli</t>
  </si>
  <si>
    <t>SL-77, ST-77,
SE-77 EXT, SE-78</t>
  </si>
  <si>
    <t>SL-77, ST-77,
SE-77 EXT, SE-78
ST-100, SL-100</t>
  </si>
  <si>
    <t xml:space="preserve"> Panjur Tipi</t>
  </si>
  <si>
    <t>Ölçü Değeri</t>
  </si>
  <si>
    <t>KUTU AKSESUARLARI</t>
  </si>
  <si>
    <t>300 Yan Kapak 45 Siyah</t>
  </si>
  <si>
    <t>TEK344162</t>
  </si>
  <si>
    <t>350 Yan Kapak 45 Siyah</t>
  </si>
  <si>
    <t>TEK344182</t>
  </si>
  <si>
    <t>400 Yan Kapak 45 Galvanizli</t>
  </si>
  <si>
    <t>35344192XXXX</t>
  </si>
  <si>
    <t>SF.400.XX.S45</t>
  </si>
  <si>
    <t>Kepenk Tambur Boru Aksesuarları</t>
  </si>
  <si>
    <t>TAMBUR AKSESUARLARI</t>
  </si>
  <si>
    <t>TAMBUR PROFİLLLERİ</t>
  </si>
  <si>
    <t>Lametsan</t>
  </si>
  <si>
    <t>Plaket 100x100 12 mm Pimli Galvaniz</t>
  </si>
  <si>
    <t>BR.075.00.PIV</t>
  </si>
  <si>
    <t>70 Boru Başı Yuvarlak Pimli Metal Pres</t>
  </si>
  <si>
    <t>CP.070.00.API</t>
  </si>
  <si>
    <t>70 Boru Başı 16x16 Kare Pimli Siyah</t>
  </si>
  <si>
    <t>102 Boru Başı 16x16 Kare Pimli Pres</t>
  </si>
  <si>
    <t>102 mm Çelik Boru Başı Galvaniz</t>
  </si>
  <si>
    <t>CP.098.00.SRA</t>
  </si>
  <si>
    <t>114 mm Çelik Boru Başı Galvaniz</t>
  </si>
  <si>
    <t>CP.098.35.SRA</t>
  </si>
  <si>
    <t>Kancalı Ara Kol Sekizgen 8MM,90 DERECE Parlak Eloksal</t>
  </si>
  <si>
    <t>HJ.AES.00.J90</t>
  </si>
  <si>
    <t>KANCALI REDÜKTÖR KOLU L=2000MM Beyaz</t>
  </si>
  <si>
    <t>HJ.200.00.HCH</t>
  </si>
  <si>
    <t>Bilezik 70&gt;101 Beyaz</t>
  </si>
  <si>
    <t>CP.070.00.101</t>
  </si>
  <si>
    <t xml:space="preserve">350 Alüminyum Kutu Kit </t>
  </si>
  <si>
    <t>Alüminyum
Köpük Kutu 1
Köpük Kutu 2</t>
  </si>
  <si>
    <t xml:space="preserve">Köpük Kutu 1
Köpük Kutu 2
250 Alüminyum Kutu Kit </t>
  </si>
  <si>
    <t>77'lik Lamel Denge Makarası Beyaz</t>
  </si>
  <si>
    <t>EG.000.01.ROL</t>
  </si>
  <si>
    <t>DİKME PROFİLLERİ</t>
  </si>
  <si>
    <t>DİKME AKSESUARLARI</t>
  </si>
  <si>
    <t>Motor Tipi</t>
  </si>
  <si>
    <t>Ürün Markası</t>
  </si>
  <si>
    <t>Motorlar</t>
  </si>
  <si>
    <t>MOTOR VE KONTROL GRUBU</t>
  </si>
  <si>
    <t>MOSEL SEL-70 80 Redüktörlü Motor</t>
  </si>
  <si>
    <t>MO.SEL.070.NH.080</t>
  </si>
  <si>
    <t>MOSEL SEL-70 100 Redüktörlü Motor</t>
  </si>
  <si>
    <t>MO.SEL.070.NH.100</t>
  </si>
  <si>
    <t>MOSEL SEL-70 120 Redüktörlü Motor</t>
  </si>
  <si>
    <t>MO.SEL.070.NH.120</t>
  </si>
  <si>
    <t>MO.SEL.070.NH.150</t>
  </si>
  <si>
    <t>MOSEL SEL-102 230 Redüktörlü Motor</t>
  </si>
  <si>
    <t>MO.SEL.102.NH.230</t>
  </si>
  <si>
    <t>MOSEL SEL-102 330 Redüktörlü Motor</t>
  </si>
  <si>
    <t>MO.SEL.102.NH.330</t>
  </si>
  <si>
    <t>SEL-600 Endüstriyel Zincirli Motor</t>
  </si>
  <si>
    <t>MO.SEL.EN0.600</t>
  </si>
  <si>
    <t>SEL-800 Endüstriyel Zincirli Motor</t>
  </si>
  <si>
    <t>MO.SEL.EN0.800</t>
  </si>
  <si>
    <t>SEL-1000 Endüstriyel Zincirli Motor</t>
  </si>
  <si>
    <t>MO.SEL.EN0.1000</t>
  </si>
  <si>
    <t>MOSEL SEL-70 150 Redüktörlü Motor</t>
  </si>
  <si>
    <t>Uzunluk
(mm)</t>
  </si>
  <si>
    <t xml:space="preserve">Ağırlık
(Kg) </t>
  </si>
  <si>
    <t>Kaldıracağı Max. Ağırlık
(Kg.)</t>
  </si>
  <si>
    <t>Tambur Tipi
(mm)</t>
  </si>
  <si>
    <t>Motor Aksesuarları</t>
  </si>
  <si>
    <t>Alıcılar</t>
  </si>
  <si>
    <t>Otomasyon Alıcılar</t>
  </si>
  <si>
    <t>Mosel Oval Power Alıcı + 2 Verici</t>
  </si>
  <si>
    <t>RC.POW.AL.01</t>
  </si>
  <si>
    <t>Mosel Joy Alıcı + 2 Verici</t>
  </si>
  <si>
    <t>RC.JOY.DC.22.92</t>
  </si>
  <si>
    <t>Mosel Oval Power II Alıcı + 2 -4 Kanallı Verici</t>
  </si>
  <si>
    <t>RC.POW.AL.04</t>
  </si>
  <si>
    <t>Mosel DC-1157 Fotoselli Kepenk Alıcısı</t>
  </si>
  <si>
    <t>RC.POW.01.D1.157</t>
  </si>
  <si>
    <t>Butonlu
Redüktörlü</t>
  </si>
  <si>
    <t>Butonlu
Redüktörlü
Zincirli</t>
  </si>
  <si>
    <t>Kumandalar</t>
  </si>
  <si>
    <t>DC 115 A 1 Kanallı Verici (Oval Alıcı)</t>
  </si>
  <si>
    <t>RC.POW.TV.01</t>
  </si>
  <si>
    <t>DC 115 B 4 Kanallı Verici (Oval Alıcı).</t>
  </si>
  <si>
    <t>RC.POW.TV.04</t>
  </si>
  <si>
    <t>Dikme Pleksi</t>
  </si>
  <si>
    <t>067x1800 Standart Kıl Fitil</t>
  </si>
  <si>
    <t>GC.180.67.INS</t>
  </si>
  <si>
    <t>Hesaplama Yöntemi :
 Lamel Genişlik= Genişlik - (Dikme Payı) x2 
Lamel Adedi =( (Yükseklik - (Kutu Payı /2)) /Lamel Genişliği) +1</t>
  </si>
  <si>
    <t>Lamel Genişliği ile Aynı 
Sistem Adedi Kadar</t>
  </si>
  <si>
    <t>Hesaplama Yöntemi :
 Lamel Genişlik= Genişlik - (Dikme Payı) x2 
Seçmeli olarak gelecektir.</t>
  </si>
  <si>
    <t>Lamel Adedi Tek ise =(Lamel Adedi /2) +1
Lamel Adedi Çift ise =(Lamel Adedi /2)</t>
  </si>
  <si>
    <t>Alt Parça ölçüsü kadar</t>
  </si>
  <si>
    <t xml:space="preserve">
</t>
  </si>
  <si>
    <t>SEL 70 serisi motorlar ile kullanılır</t>
  </si>
  <si>
    <t xml:space="preserve"> SEL102 serisi motorlar ile konullanılır</t>
  </si>
  <si>
    <t>SEL 600 serisi motorlar ile konulabilir</t>
  </si>
  <si>
    <t>300 luk kutu ile 1 takım kullanılır</t>
  </si>
  <si>
    <t>350 luk kutu ile 1 takım kullanılır</t>
  </si>
  <si>
    <t>400 luk kutu ile 1 takım kullanılır</t>
  </si>
  <si>
    <t>400 luk kutu ile 1 adet kullanılır</t>
  </si>
  <si>
    <t>300 lük ve 350 lik kutularda 1 adet kullanılır
70 lik tambur borusu ile kullanılır</t>
  </si>
  <si>
    <t>300 lük ve 350 lik kutularda 1 adet kullanılır
102 lik tambur borusu ile kullanılır</t>
  </si>
  <si>
    <t>400 lük kutularda 1 adet kullanılır
70 lik tambur borusu ile kullanılır</t>
  </si>
  <si>
    <t>400 lük kutularda 1 adet kullanılır
102 lik tambur borusu ile kullanılır</t>
  </si>
  <si>
    <t>70 seri motorlar için kullanılır 
2 mtye kadar 3 adet iki metreden sonra ki her bir metrede 1 adet kullanılır</t>
  </si>
  <si>
    <t>70 seri ve 102 serisi motorlarda kullanılır
Her sistemde 1 adet</t>
  </si>
  <si>
    <t>77 ve 78 lik lamel için kullanıır.
2 mt kadar 6 adet 2 mt den sonra her 1 mt için 2 adet artar</t>
  </si>
  <si>
    <t>100 lük lamel için kullanıır.
2 mt kadar 6 adet 2 mt den sonra her 1 mt için 2 adet artar</t>
  </si>
  <si>
    <t>Kutu olmaz
114 lik tambur borusu ile kullanılır</t>
  </si>
  <si>
    <t xml:space="preserve">Her Sistem için 2 Adet
Dikme Boyu=Sistem Yüksekliği - Kutu Yüksekliği </t>
  </si>
  <si>
    <t xml:space="preserve">400 lük kutu da her sistem için 2 adet </t>
  </si>
  <si>
    <t xml:space="preserve">77 lik Dikme miktarı kadar </t>
  </si>
  <si>
    <t>SL 77 LAMEL</t>
  </si>
  <si>
    <t>ST 77 LAMEL</t>
  </si>
  <si>
    <t>SE 77 LAMEL</t>
  </si>
  <si>
    <t>SL 100 LAMEL</t>
  </si>
  <si>
    <t>ST 100 LAMEL</t>
  </si>
  <si>
    <t>70 -80</t>
  </si>
  <si>
    <t>70-100</t>
  </si>
  <si>
    <t>70-120</t>
  </si>
  <si>
    <t>70-140</t>
  </si>
  <si>
    <t>102-230</t>
  </si>
  <si>
    <t>102-330</t>
  </si>
  <si>
    <t>SEL-600</t>
  </si>
  <si>
    <t>SEL-800</t>
  </si>
  <si>
    <t>SEL-1000</t>
  </si>
  <si>
    <t xml:space="preserve">Lamel M2 </t>
  </si>
  <si>
    <t>m2 göre motor kullanım tablosu</t>
  </si>
  <si>
    <t>067x1200 Standart Kıl Fitil</t>
  </si>
  <si>
    <t>GC.120.67.INS</t>
  </si>
  <si>
    <t xml:space="preserve">100 lük Dikme miktarı kadar </t>
  </si>
  <si>
    <t>Opsiyonel</t>
  </si>
  <si>
    <t>Motor Kaldırma Kuvvetleri Yanda Tablodadır</t>
  </si>
  <si>
    <t>159 mm Boru 3,0 mm</t>
  </si>
  <si>
    <t>SEL 800  ve Sel 1000 serisi motorlar ile konulabilir</t>
  </si>
  <si>
    <t>159 mm Çelik Boru Başı Galvaniz</t>
  </si>
  <si>
    <t xml:space="preserve">
ST-100, SL-100</t>
  </si>
  <si>
    <t>Kutu olmaz
159 luk  tambur borusu ile kullanılır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</si>
</sst>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"/>
      <charset val="162"/>
    </font>
    <font>
      <b/>
      <sz val="15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3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0" fillId="0" borderId="1" xfId="0" applyBorder="1"/>
    <xf numFmtId="1" fontId="0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1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7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/>
  </cellStyles>
  <dxfs count="26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abSelected="1" topLeftCell="B16" zoomScale="55" zoomScaleNormal="55" workbookViewId="0">
      <selection activeCell="R31" sqref="R31"/>
    </sheetView>
  </sheetViews>
  <sheetFormatPr defaultRowHeight="15" x14ac:dyDescent="0.25"/>
  <cols>
    <col min="1" max="1" width="16.28515625" bestFit="1" customWidth="1"/>
    <col min="2" max="2" width="47.140625" bestFit="1" customWidth="1"/>
    <col min="3" max="3" width="27.28515625" bestFit="1" customWidth="1"/>
    <col min="4" max="4" width="30.140625" bestFit="1" customWidth="1"/>
    <col min="5" max="5" width="15.7109375" bestFit="1" customWidth="1"/>
    <col min="6" max="6" width="17.140625" customWidth="1"/>
    <col min="7" max="7" width="17.28515625" customWidth="1"/>
    <col min="8" max="8" width="20.42578125" customWidth="1"/>
    <col min="9" max="9" width="12.42578125" customWidth="1"/>
    <col min="10" max="10" width="13.85546875" bestFit="1" customWidth="1"/>
    <col min="11" max="11" width="13.85546875" customWidth="1"/>
    <col min="12" max="12" width="12.5703125" bestFit="1" customWidth="1"/>
    <col min="13" max="13" width="13.7109375" bestFit="1" customWidth="1"/>
    <col min="14" max="15" width="13.42578125" customWidth="1"/>
    <col min="16" max="16" width="20.28515625" customWidth="1"/>
    <col min="17" max="17" width="15.5703125" customWidth="1"/>
    <col min="18" max="18" width="35.7109375" style="24" bestFit="1" customWidth="1"/>
  </cols>
  <sheetData>
    <row r="1" spans="1:18" ht="19.5" x14ac:dyDescent="0.3">
      <c r="A1" s="39" t="s">
        <v>78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17.25" x14ac:dyDescent="0.3">
      <c r="A2" s="38" t="s">
        <v>126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18" ht="45" x14ac:dyDescent="0.25">
      <c r="A3" s="6" t="s">
        <v>17</v>
      </c>
      <c r="B3" s="3" t="s">
        <v>1</v>
      </c>
      <c r="C3" s="3" t="s">
        <v>3</v>
      </c>
      <c r="D3" s="3" t="s">
        <v>2</v>
      </c>
      <c r="E3" s="4" t="s">
        <v>6</v>
      </c>
      <c r="F3" s="4" t="s">
        <v>5</v>
      </c>
      <c r="G3" s="4" t="s">
        <v>136</v>
      </c>
      <c r="H3" s="5" t="s">
        <v>18</v>
      </c>
      <c r="I3" s="5" t="s">
        <v>15</v>
      </c>
      <c r="J3" s="5" t="s">
        <v>8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170</v>
      </c>
      <c r="P3" s="5" t="s">
        <v>139</v>
      </c>
      <c r="Q3" s="5" t="s">
        <v>84</v>
      </c>
      <c r="R3" s="5" t="s">
        <v>0</v>
      </c>
    </row>
    <row r="4" spans="1:18" ht="75" x14ac:dyDescent="0.25">
      <c r="A4" s="2" t="s">
        <v>24</v>
      </c>
      <c r="B4" s="4" t="s">
        <v>22</v>
      </c>
      <c r="C4" s="4" t="s">
        <v>4</v>
      </c>
      <c r="D4" s="32" t="s">
        <v>110</v>
      </c>
      <c r="E4" s="31" t="s">
        <v>7</v>
      </c>
      <c r="F4" s="4" t="s">
        <v>23</v>
      </c>
      <c r="G4" s="31" t="s">
        <v>130</v>
      </c>
      <c r="H4" s="13">
        <v>10</v>
      </c>
      <c r="I4" s="13">
        <v>12.987</v>
      </c>
      <c r="J4" s="4">
        <v>77</v>
      </c>
      <c r="K4" s="4">
        <v>18.5</v>
      </c>
      <c r="L4" s="4">
        <v>5000</v>
      </c>
      <c r="M4" s="4">
        <v>4000</v>
      </c>
      <c r="N4" s="4">
        <v>20</v>
      </c>
      <c r="O4" s="4"/>
      <c r="P4" s="32" t="s">
        <v>45</v>
      </c>
      <c r="Q4" s="31" t="s">
        <v>55</v>
      </c>
      <c r="R4" s="32" t="s">
        <v>253</v>
      </c>
    </row>
    <row r="5" spans="1:18" ht="75" x14ac:dyDescent="0.25">
      <c r="A5" s="2" t="s">
        <v>16</v>
      </c>
      <c r="B5" s="11" t="s">
        <v>10</v>
      </c>
      <c r="C5" s="4" t="s">
        <v>4</v>
      </c>
      <c r="D5" s="6" t="s">
        <v>111</v>
      </c>
      <c r="E5" s="3" t="s">
        <v>7</v>
      </c>
      <c r="F5" s="3" t="s">
        <v>9</v>
      </c>
      <c r="G5" s="3" t="s">
        <v>130</v>
      </c>
      <c r="H5" s="12">
        <v>4.55</v>
      </c>
      <c r="I5" s="12">
        <v>12.987</v>
      </c>
      <c r="J5" s="3">
        <v>77</v>
      </c>
      <c r="K5" s="3">
        <v>18.5</v>
      </c>
      <c r="L5" s="3">
        <v>5400</v>
      </c>
      <c r="M5" s="3">
        <v>3850</v>
      </c>
      <c r="N5" s="3">
        <v>18</v>
      </c>
      <c r="O5" s="3"/>
      <c r="P5" s="18" t="s">
        <v>45</v>
      </c>
      <c r="Q5" s="3" t="s">
        <v>55</v>
      </c>
      <c r="R5" s="32" t="s">
        <v>253</v>
      </c>
    </row>
    <row r="6" spans="1:18" ht="75" x14ac:dyDescent="0.25">
      <c r="A6" s="2" t="s">
        <v>19</v>
      </c>
      <c r="B6" s="3" t="s">
        <v>20</v>
      </c>
      <c r="C6" s="4" t="s">
        <v>4</v>
      </c>
      <c r="D6" s="5" t="s">
        <v>112</v>
      </c>
      <c r="E6" s="3" t="s">
        <v>7</v>
      </c>
      <c r="F6" s="3" t="s">
        <v>21</v>
      </c>
      <c r="G6" s="3" t="s">
        <v>130</v>
      </c>
      <c r="H6" s="13">
        <v>7</v>
      </c>
      <c r="I6" s="13">
        <v>12.99</v>
      </c>
      <c r="J6" s="4">
        <v>77</v>
      </c>
      <c r="K6" s="4">
        <v>14.3</v>
      </c>
      <c r="L6" s="4">
        <v>7000</v>
      </c>
      <c r="M6" s="4">
        <v>5000</v>
      </c>
      <c r="N6" s="4">
        <v>25</v>
      </c>
      <c r="O6" s="4"/>
      <c r="P6" s="18" t="s">
        <v>45</v>
      </c>
      <c r="Q6" s="3" t="s">
        <v>55</v>
      </c>
      <c r="R6" s="32" t="s">
        <v>253</v>
      </c>
    </row>
    <row r="7" spans="1:18" ht="60" x14ac:dyDescent="0.25">
      <c r="A7" s="7" t="s">
        <v>27</v>
      </c>
      <c r="B7" s="4" t="s">
        <v>30</v>
      </c>
      <c r="C7" s="4" t="s">
        <v>4</v>
      </c>
      <c r="D7" s="5" t="s">
        <v>113</v>
      </c>
      <c r="E7" s="3" t="s">
        <v>7</v>
      </c>
      <c r="F7" s="3" t="s">
        <v>31</v>
      </c>
      <c r="G7" s="3" t="s">
        <v>130</v>
      </c>
      <c r="H7" s="13">
        <v>6.35</v>
      </c>
      <c r="I7" s="13">
        <v>12.99</v>
      </c>
      <c r="J7" s="4">
        <v>78</v>
      </c>
      <c r="K7" s="4">
        <v>17.34</v>
      </c>
      <c r="L7" s="4">
        <v>5000</v>
      </c>
      <c r="M7" s="4">
        <v>5000</v>
      </c>
      <c r="N7" s="4">
        <v>20</v>
      </c>
      <c r="O7" s="4"/>
      <c r="P7" s="18" t="s">
        <v>45</v>
      </c>
      <c r="Q7" s="3" t="s">
        <v>55</v>
      </c>
      <c r="R7" s="32" t="s">
        <v>255</v>
      </c>
    </row>
    <row r="8" spans="1:18" ht="75" x14ac:dyDescent="0.25">
      <c r="A8" s="7" t="s">
        <v>29</v>
      </c>
      <c r="B8" s="4" t="s">
        <v>26</v>
      </c>
      <c r="C8" s="4" t="s">
        <v>4</v>
      </c>
      <c r="D8" s="6" t="s">
        <v>114</v>
      </c>
      <c r="E8" s="3" t="s">
        <v>7</v>
      </c>
      <c r="F8" s="3" t="s">
        <v>32</v>
      </c>
      <c r="G8" s="3" t="s">
        <v>130</v>
      </c>
      <c r="H8" s="3">
        <v>5.21</v>
      </c>
      <c r="I8" s="3">
        <v>10.417</v>
      </c>
      <c r="J8" s="3">
        <v>96</v>
      </c>
      <c r="K8" s="3">
        <v>24</v>
      </c>
      <c r="L8" s="3">
        <v>7000</v>
      </c>
      <c r="M8" s="3">
        <v>5000</v>
      </c>
      <c r="N8" s="3">
        <v>30</v>
      </c>
      <c r="O8" s="3"/>
      <c r="P8" s="18" t="s">
        <v>45</v>
      </c>
      <c r="Q8" s="3" t="s">
        <v>56</v>
      </c>
      <c r="R8" s="32" t="s">
        <v>253</v>
      </c>
    </row>
    <row r="9" spans="1:18" ht="75" x14ac:dyDescent="0.25">
      <c r="A9" s="2" t="s">
        <v>28</v>
      </c>
      <c r="B9" s="4" t="s">
        <v>25</v>
      </c>
      <c r="C9" s="4" t="s">
        <v>4</v>
      </c>
      <c r="D9" s="6" t="s">
        <v>115</v>
      </c>
      <c r="E9" s="3" t="s">
        <v>7</v>
      </c>
      <c r="F9" s="3" t="s">
        <v>33</v>
      </c>
      <c r="G9" s="3" t="s">
        <v>130</v>
      </c>
      <c r="H9" s="3">
        <v>12.5</v>
      </c>
      <c r="I9" s="3">
        <v>10.417</v>
      </c>
      <c r="J9" s="3">
        <v>96</v>
      </c>
      <c r="K9" s="3">
        <v>24</v>
      </c>
      <c r="L9" s="3">
        <v>8000</v>
      </c>
      <c r="M9" s="3">
        <v>6000</v>
      </c>
      <c r="N9" s="3">
        <v>40</v>
      </c>
      <c r="O9" s="3"/>
      <c r="P9" s="18" t="s">
        <v>45</v>
      </c>
      <c r="Q9" s="3" t="s">
        <v>56</v>
      </c>
      <c r="R9" s="32" t="s">
        <v>253</v>
      </c>
    </row>
    <row r="10" spans="1:18" ht="17.25" x14ac:dyDescent="0.3">
      <c r="A10" s="38" t="s">
        <v>127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</row>
    <row r="11" spans="1:18" ht="45" x14ac:dyDescent="0.25">
      <c r="A11" s="6" t="s">
        <v>17</v>
      </c>
      <c r="B11" s="3" t="s">
        <v>1</v>
      </c>
      <c r="C11" s="3" t="s">
        <v>3</v>
      </c>
      <c r="D11" s="3" t="s">
        <v>2</v>
      </c>
      <c r="E11" s="4" t="s">
        <v>6</v>
      </c>
      <c r="F11" s="4" t="s">
        <v>5</v>
      </c>
      <c r="G11" s="4" t="s">
        <v>136</v>
      </c>
      <c r="H11" s="5" t="s">
        <v>18</v>
      </c>
      <c r="I11" s="5" t="s">
        <v>15</v>
      </c>
      <c r="J11" s="5" t="s">
        <v>8</v>
      </c>
      <c r="K11" s="5" t="s">
        <v>11</v>
      </c>
      <c r="L11" s="5" t="s">
        <v>12</v>
      </c>
      <c r="M11" s="5" t="s">
        <v>13</v>
      </c>
      <c r="N11" s="5" t="s">
        <v>14</v>
      </c>
      <c r="O11" s="5"/>
      <c r="P11" s="5" t="s">
        <v>169</v>
      </c>
      <c r="Q11" s="5" t="s">
        <v>84</v>
      </c>
      <c r="R11" s="5" t="s">
        <v>0</v>
      </c>
    </row>
    <row r="12" spans="1:18" ht="30" x14ac:dyDescent="0.25">
      <c r="A12" s="2" t="s">
        <v>93</v>
      </c>
      <c r="B12" s="11" t="s">
        <v>94</v>
      </c>
      <c r="C12" s="4" t="s">
        <v>35</v>
      </c>
      <c r="D12" s="4" t="s">
        <v>116</v>
      </c>
      <c r="E12" s="4" t="s">
        <v>95</v>
      </c>
      <c r="F12" s="4" t="s">
        <v>96</v>
      </c>
      <c r="G12" s="4"/>
      <c r="H12" s="4">
        <v>0.72</v>
      </c>
      <c r="I12" s="4" t="s">
        <v>92</v>
      </c>
      <c r="J12" s="4">
        <v>80</v>
      </c>
      <c r="K12" s="4">
        <v>18</v>
      </c>
      <c r="L12" s="4" t="s">
        <v>92</v>
      </c>
      <c r="M12" s="4" t="s">
        <v>92</v>
      </c>
      <c r="N12" s="4" t="s">
        <v>92</v>
      </c>
      <c r="O12" s="4"/>
      <c r="P12" s="21" t="s">
        <v>47</v>
      </c>
      <c r="Q12" s="20" t="s">
        <v>55</v>
      </c>
      <c r="R12" s="18" t="s">
        <v>254</v>
      </c>
    </row>
    <row r="13" spans="1:18" ht="30" x14ac:dyDescent="0.25">
      <c r="A13" s="2" t="s">
        <v>99</v>
      </c>
      <c r="B13" s="11" t="s">
        <v>100</v>
      </c>
      <c r="C13" s="4" t="s">
        <v>35</v>
      </c>
      <c r="D13" s="20" t="s">
        <v>117</v>
      </c>
      <c r="E13" s="3" t="s">
        <v>7</v>
      </c>
      <c r="F13" s="3" t="s">
        <v>97</v>
      </c>
      <c r="G13" s="3"/>
      <c r="H13" s="4">
        <v>1.113</v>
      </c>
      <c r="I13" s="20" t="s">
        <v>92</v>
      </c>
      <c r="J13" s="20">
        <v>100</v>
      </c>
      <c r="K13" s="20">
        <v>22</v>
      </c>
      <c r="L13" s="20" t="s">
        <v>92</v>
      </c>
      <c r="M13" s="20" t="s">
        <v>92</v>
      </c>
      <c r="N13" s="20" t="s">
        <v>92</v>
      </c>
      <c r="O13" s="21"/>
      <c r="P13" s="21" t="s">
        <v>47</v>
      </c>
      <c r="Q13" s="20" t="s">
        <v>56</v>
      </c>
      <c r="R13" s="18" t="s">
        <v>254</v>
      </c>
    </row>
    <row r="14" spans="1:18" ht="19.5" x14ac:dyDescent="0.3">
      <c r="A14" s="39" t="s">
        <v>101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</row>
    <row r="15" spans="1:18" ht="17.25" x14ac:dyDescent="0.3">
      <c r="A15" s="38" t="s">
        <v>102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</row>
    <row r="16" spans="1:18" ht="45" x14ac:dyDescent="0.25">
      <c r="A16" s="6" t="s">
        <v>17</v>
      </c>
      <c r="B16" s="3" t="s">
        <v>1</v>
      </c>
      <c r="C16" s="3" t="s">
        <v>3</v>
      </c>
      <c r="D16" s="3" t="s">
        <v>2</v>
      </c>
      <c r="E16" s="4" t="s">
        <v>6</v>
      </c>
      <c r="F16" s="4" t="s">
        <v>5</v>
      </c>
      <c r="G16" s="4" t="s">
        <v>136</v>
      </c>
      <c r="H16" s="5" t="s">
        <v>18</v>
      </c>
      <c r="I16" s="5" t="s">
        <v>15</v>
      </c>
      <c r="J16" s="5" t="s">
        <v>8</v>
      </c>
      <c r="K16" s="5" t="s">
        <v>11</v>
      </c>
      <c r="L16" s="5" t="s">
        <v>12</v>
      </c>
      <c r="M16" s="5" t="s">
        <v>13</v>
      </c>
      <c r="N16" s="5" t="s">
        <v>14</v>
      </c>
      <c r="O16" s="5" t="s">
        <v>170</v>
      </c>
      <c r="P16" s="5" t="s">
        <v>53</v>
      </c>
      <c r="Q16" s="5" t="s">
        <v>54</v>
      </c>
      <c r="R16" s="5" t="s">
        <v>0</v>
      </c>
    </row>
    <row r="17" spans="1:18" ht="45" x14ac:dyDescent="0.25">
      <c r="A17" s="2">
        <v>353212701200</v>
      </c>
      <c r="B17" s="11" t="s">
        <v>103</v>
      </c>
      <c r="C17" s="11" t="s">
        <v>121</v>
      </c>
      <c r="D17" s="3" t="s">
        <v>118</v>
      </c>
      <c r="E17" s="3" t="s">
        <v>7</v>
      </c>
      <c r="F17" s="3" t="s">
        <v>140</v>
      </c>
      <c r="G17" s="3" t="s">
        <v>131</v>
      </c>
      <c r="H17" s="3"/>
      <c r="I17" s="3"/>
      <c r="J17" s="3"/>
      <c r="K17" s="3"/>
      <c r="L17" s="3"/>
      <c r="M17" s="3"/>
      <c r="N17" s="3"/>
      <c r="O17" s="3"/>
      <c r="P17" s="3" t="s">
        <v>47</v>
      </c>
      <c r="Q17" s="3" t="s">
        <v>55</v>
      </c>
      <c r="R17" s="32" t="s">
        <v>256</v>
      </c>
    </row>
    <row r="18" spans="1:18" ht="45" x14ac:dyDescent="0.25">
      <c r="A18" s="2">
        <v>353212801200</v>
      </c>
      <c r="B18" s="11" t="s">
        <v>104</v>
      </c>
      <c r="C18" s="11" t="s">
        <v>121</v>
      </c>
      <c r="D18" s="4" t="s">
        <v>117</v>
      </c>
      <c r="E18" s="3" t="s">
        <v>7</v>
      </c>
      <c r="F18" s="3" t="s">
        <v>141</v>
      </c>
      <c r="G18" s="3" t="s">
        <v>131</v>
      </c>
      <c r="H18" s="3"/>
      <c r="I18" s="3"/>
      <c r="J18" s="3"/>
      <c r="K18" s="3"/>
      <c r="L18" s="3"/>
      <c r="M18" s="3"/>
      <c r="N18" s="3"/>
      <c r="O18" s="3"/>
      <c r="P18" s="3" t="s">
        <v>47</v>
      </c>
      <c r="Q18" s="3" t="s">
        <v>55</v>
      </c>
      <c r="R18" s="32" t="s">
        <v>256</v>
      </c>
    </row>
    <row r="19" spans="1:18" ht="45" x14ac:dyDescent="0.25">
      <c r="A19" s="2">
        <v>353213701200</v>
      </c>
      <c r="B19" s="11" t="s">
        <v>105</v>
      </c>
      <c r="C19" s="11" t="s">
        <v>121</v>
      </c>
      <c r="D19" s="4" t="s">
        <v>119</v>
      </c>
      <c r="E19" s="3" t="s">
        <v>7</v>
      </c>
      <c r="F19" s="3" t="s">
        <v>142</v>
      </c>
      <c r="G19" s="3" t="s">
        <v>131</v>
      </c>
      <c r="H19" s="3"/>
      <c r="I19" s="3"/>
      <c r="J19" s="3"/>
      <c r="K19" s="3"/>
      <c r="L19" s="3"/>
      <c r="M19" s="3"/>
      <c r="N19" s="3"/>
      <c r="O19" s="3"/>
      <c r="P19" s="3" t="s">
        <v>47</v>
      </c>
      <c r="Q19" s="3" t="s">
        <v>55</v>
      </c>
      <c r="R19" s="32" t="s">
        <v>256</v>
      </c>
    </row>
    <row r="20" spans="1:18" ht="45" x14ac:dyDescent="0.25">
      <c r="A20" s="2">
        <v>353214701200</v>
      </c>
      <c r="B20" s="11" t="s">
        <v>106</v>
      </c>
      <c r="C20" s="11" t="s">
        <v>121</v>
      </c>
      <c r="D20" s="4" t="s">
        <v>120</v>
      </c>
      <c r="E20" s="3" t="s">
        <v>7</v>
      </c>
      <c r="F20" s="3" t="s">
        <v>143</v>
      </c>
      <c r="G20" s="3" t="s">
        <v>131</v>
      </c>
      <c r="H20" s="3"/>
      <c r="I20" s="3"/>
      <c r="J20" s="3"/>
      <c r="K20" s="3"/>
      <c r="L20" s="3"/>
      <c r="M20" s="3"/>
      <c r="N20" s="3"/>
      <c r="O20" s="3"/>
      <c r="P20" s="3" t="s">
        <v>47</v>
      </c>
      <c r="Q20" s="3" t="s">
        <v>55</v>
      </c>
      <c r="R20" s="32" t="s">
        <v>256</v>
      </c>
    </row>
    <row r="21" spans="1:18" ht="45" x14ac:dyDescent="0.25">
      <c r="A21" s="2">
        <v>353220700200</v>
      </c>
      <c r="B21" s="11" t="s">
        <v>107</v>
      </c>
      <c r="C21" s="11" t="s">
        <v>121</v>
      </c>
      <c r="D21" s="4" t="s">
        <v>116</v>
      </c>
      <c r="E21" s="3" t="s">
        <v>7</v>
      </c>
      <c r="F21" s="3" t="s">
        <v>144</v>
      </c>
      <c r="G21" s="3" t="s">
        <v>131</v>
      </c>
      <c r="H21" s="3"/>
      <c r="I21" s="3"/>
      <c r="J21" s="3"/>
      <c r="K21" s="3"/>
      <c r="L21" s="3"/>
      <c r="M21" s="3"/>
      <c r="N21" s="3"/>
      <c r="O21" s="3"/>
      <c r="P21" s="3" t="s">
        <v>47</v>
      </c>
      <c r="Q21" s="3" t="s">
        <v>56</v>
      </c>
      <c r="R21" s="32" t="s">
        <v>272</v>
      </c>
    </row>
    <row r="22" spans="1:18" ht="45" x14ac:dyDescent="0.25">
      <c r="A22" s="2">
        <v>353220800200</v>
      </c>
      <c r="B22" s="11" t="s">
        <v>108</v>
      </c>
      <c r="C22" s="11" t="s">
        <v>121</v>
      </c>
      <c r="D22" s="4" t="s">
        <v>117</v>
      </c>
      <c r="E22" s="3" t="s">
        <v>7</v>
      </c>
      <c r="F22" s="3" t="s">
        <v>145</v>
      </c>
      <c r="G22" s="3" t="s">
        <v>131</v>
      </c>
      <c r="H22" s="3"/>
      <c r="I22" s="3"/>
      <c r="J22" s="3"/>
      <c r="K22" s="3"/>
      <c r="L22" s="3"/>
      <c r="M22" s="3"/>
      <c r="N22" s="3"/>
      <c r="O22" s="3"/>
      <c r="P22" s="3" t="s">
        <v>47</v>
      </c>
      <c r="Q22" s="3" t="s">
        <v>56</v>
      </c>
      <c r="R22" s="32" t="s">
        <v>273</v>
      </c>
    </row>
    <row r="23" spans="1:18" x14ac:dyDescent="0.25">
      <c r="A23" s="2">
        <v>353314710100</v>
      </c>
      <c r="B23" s="11" t="s">
        <v>109</v>
      </c>
      <c r="C23" s="11" t="s">
        <v>121</v>
      </c>
      <c r="D23" s="4" t="s">
        <v>120</v>
      </c>
      <c r="E23" s="3" t="s">
        <v>7</v>
      </c>
      <c r="F23" s="3" t="s">
        <v>146</v>
      </c>
      <c r="G23" s="3" t="s">
        <v>130</v>
      </c>
      <c r="H23" s="3"/>
      <c r="I23" s="3"/>
      <c r="J23" s="3"/>
      <c r="K23" s="3"/>
      <c r="L23" s="3"/>
      <c r="M23" s="3"/>
      <c r="N23" s="3"/>
      <c r="O23" s="3"/>
      <c r="P23" s="3" t="s">
        <v>47</v>
      </c>
      <c r="Q23" s="3" t="s">
        <v>55</v>
      </c>
      <c r="R23" s="31" t="s">
        <v>122</v>
      </c>
    </row>
    <row r="24" spans="1:18" ht="45" x14ac:dyDescent="0.25">
      <c r="A24" s="2">
        <v>121922000869</v>
      </c>
      <c r="B24" s="11" t="s">
        <v>123</v>
      </c>
      <c r="C24" s="11" t="s">
        <v>38</v>
      </c>
      <c r="D24" s="6" t="s">
        <v>124</v>
      </c>
      <c r="E24" s="3" t="s">
        <v>76</v>
      </c>
      <c r="F24" s="3" t="s">
        <v>92</v>
      </c>
      <c r="G24" s="3" t="s">
        <v>131</v>
      </c>
      <c r="H24" s="3"/>
      <c r="I24" s="3"/>
      <c r="J24" s="3"/>
      <c r="K24" s="3"/>
      <c r="L24" s="3"/>
      <c r="M24" s="3"/>
      <c r="N24" s="3"/>
      <c r="O24" s="3"/>
      <c r="P24" s="3" t="s">
        <v>47</v>
      </c>
      <c r="Q24" s="4" t="s">
        <v>125</v>
      </c>
      <c r="R24" s="32" t="s">
        <v>256</v>
      </c>
    </row>
    <row r="25" spans="1:18" ht="17.25" x14ac:dyDescent="0.3">
      <c r="A25" s="38" t="s">
        <v>128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</row>
    <row r="26" spans="1:18" ht="45" x14ac:dyDescent="0.25">
      <c r="A26" s="6" t="s">
        <v>17</v>
      </c>
      <c r="B26" s="3" t="s">
        <v>1</v>
      </c>
      <c r="C26" s="3" t="s">
        <v>3</v>
      </c>
      <c r="D26" s="3" t="s">
        <v>2</v>
      </c>
      <c r="E26" s="4" t="s">
        <v>6</v>
      </c>
      <c r="F26" s="4" t="s">
        <v>5</v>
      </c>
      <c r="G26" s="4" t="s">
        <v>136</v>
      </c>
      <c r="H26" s="5" t="s">
        <v>18</v>
      </c>
      <c r="I26" s="5" t="s">
        <v>15</v>
      </c>
      <c r="J26" s="5" t="s">
        <v>8</v>
      </c>
      <c r="K26" s="5" t="s">
        <v>11</v>
      </c>
      <c r="L26" s="5" t="s">
        <v>12</v>
      </c>
      <c r="M26" s="5" t="s">
        <v>13</v>
      </c>
      <c r="N26" s="5" t="s">
        <v>14</v>
      </c>
      <c r="O26" s="5" t="s">
        <v>170</v>
      </c>
      <c r="P26" s="5" t="s">
        <v>169</v>
      </c>
      <c r="Q26" s="5" t="s">
        <v>84</v>
      </c>
      <c r="R26" s="5" t="s">
        <v>0</v>
      </c>
    </row>
    <row r="27" spans="1:18" x14ac:dyDescent="0.25">
      <c r="A27" s="25">
        <v>353320701900</v>
      </c>
      <c r="B27" s="3" t="s">
        <v>132</v>
      </c>
      <c r="C27" s="3" t="s">
        <v>39</v>
      </c>
      <c r="D27" s="4" t="s">
        <v>116</v>
      </c>
      <c r="E27" s="3" t="s">
        <v>7</v>
      </c>
      <c r="F27" s="3" t="s">
        <v>133</v>
      </c>
      <c r="G27" s="3" t="s">
        <v>130</v>
      </c>
      <c r="H27" s="3"/>
      <c r="I27" s="3"/>
      <c r="J27" s="3"/>
      <c r="K27" s="3"/>
      <c r="L27" s="3"/>
      <c r="M27" s="3"/>
      <c r="N27" s="3"/>
      <c r="O27" s="3"/>
      <c r="P27" s="3" t="s">
        <v>47</v>
      </c>
      <c r="Q27" s="3" t="s">
        <v>55</v>
      </c>
      <c r="R27" s="31" t="s">
        <v>257</v>
      </c>
    </row>
    <row r="28" spans="1:18" x14ac:dyDescent="0.25">
      <c r="A28" s="25">
        <v>353320801900</v>
      </c>
      <c r="B28" s="3" t="s">
        <v>134</v>
      </c>
      <c r="C28" s="3" t="s">
        <v>39</v>
      </c>
      <c r="D28" s="4" t="s">
        <v>117</v>
      </c>
      <c r="E28" s="3" t="s">
        <v>7</v>
      </c>
      <c r="F28" s="3" t="s">
        <v>135</v>
      </c>
      <c r="G28" s="3" t="s">
        <v>130</v>
      </c>
      <c r="H28" s="3"/>
      <c r="I28" s="3"/>
      <c r="J28" s="3"/>
      <c r="K28" s="3"/>
      <c r="L28" s="3"/>
      <c r="M28" s="3"/>
      <c r="N28" s="3"/>
      <c r="O28" s="3"/>
      <c r="P28" s="3" t="s">
        <v>47</v>
      </c>
      <c r="Q28" s="3" t="s">
        <v>56</v>
      </c>
      <c r="R28" s="31" t="s">
        <v>257</v>
      </c>
    </row>
  </sheetData>
  <mergeCells count="6">
    <mergeCell ref="A25:R25"/>
    <mergeCell ref="A1:R1"/>
    <mergeCell ref="A2:R2"/>
    <mergeCell ref="A10:R10"/>
    <mergeCell ref="A14:R14"/>
    <mergeCell ref="A15:R15"/>
  </mergeCells>
  <conditionalFormatting sqref="B5">
    <cfRule type="expression" dxfId="25" priority="17">
      <formula>$R5="Pasif"</formula>
    </cfRule>
  </conditionalFormatting>
  <conditionalFormatting sqref="B12">
    <cfRule type="expression" dxfId="24" priority="12">
      <formula>$N12="Pasif"</formula>
    </cfRule>
  </conditionalFormatting>
  <conditionalFormatting sqref="B13">
    <cfRule type="expression" dxfId="23" priority="11">
      <formula>$N13="Pasif"</formula>
    </cfRule>
  </conditionalFormatting>
  <conditionalFormatting sqref="B17:B24">
    <cfRule type="expression" dxfId="22" priority="5">
      <formula>$N17="Pasif"</formula>
    </cfRule>
  </conditionalFormatting>
  <conditionalFormatting sqref="C17">
    <cfRule type="expression" dxfId="21" priority="2">
      <formula>$N17="Pasif"</formula>
    </cfRule>
  </conditionalFormatting>
  <conditionalFormatting sqref="C18:C24">
    <cfRule type="expression" dxfId="20" priority="1">
      <formula>$N18="Pasif"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opLeftCell="A25" zoomScale="70" zoomScaleNormal="70" workbookViewId="0">
      <selection activeCell="A31" sqref="A31"/>
    </sheetView>
  </sheetViews>
  <sheetFormatPr defaultRowHeight="15" x14ac:dyDescent="0.25"/>
  <cols>
    <col min="1" max="1" width="20.28515625" bestFit="1" customWidth="1"/>
    <col min="2" max="2" width="51.140625" bestFit="1" customWidth="1"/>
    <col min="3" max="3" width="31.140625" bestFit="1" customWidth="1"/>
    <col min="4" max="4" width="35" bestFit="1" customWidth="1"/>
    <col min="5" max="5" width="32.7109375" customWidth="1"/>
    <col min="6" max="6" width="17.7109375" bestFit="1" customWidth="1"/>
    <col min="7" max="7" width="13.7109375" customWidth="1"/>
    <col min="8" max="8" width="21.85546875" bestFit="1" customWidth="1"/>
    <col min="9" max="9" width="12.42578125" style="9" customWidth="1"/>
    <col min="10" max="10" width="13.85546875" style="9" bestFit="1" customWidth="1"/>
    <col min="11" max="11" width="16.42578125" style="9" bestFit="1" customWidth="1"/>
    <col min="12" max="12" width="16.42578125" style="22" customWidth="1"/>
    <col min="13" max="13" width="14" bestFit="1" customWidth="1"/>
    <col min="15" max="15" width="55.42578125" bestFit="1" customWidth="1"/>
  </cols>
  <sheetData>
    <row r="1" spans="1:15" ht="19.5" x14ac:dyDescent="0.3">
      <c r="A1" s="39" t="s">
        <v>78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25">
      <c r="A2" s="40" t="s">
        <v>138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45" x14ac:dyDescent="0.25">
      <c r="A3" s="6" t="s">
        <v>17</v>
      </c>
      <c r="B3" s="3" t="s">
        <v>1</v>
      </c>
      <c r="C3" s="3" t="s">
        <v>3</v>
      </c>
      <c r="D3" s="3" t="s">
        <v>46</v>
      </c>
      <c r="E3" s="4" t="s">
        <v>6</v>
      </c>
      <c r="F3" s="4" t="s">
        <v>5</v>
      </c>
      <c r="G3" s="4" t="s">
        <v>136</v>
      </c>
      <c r="H3" s="5" t="s">
        <v>44</v>
      </c>
      <c r="I3" s="5" t="s">
        <v>49</v>
      </c>
      <c r="J3" s="5" t="s">
        <v>50</v>
      </c>
      <c r="K3" s="5" t="s">
        <v>51</v>
      </c>
      <c r="L3" s="5" t="s">
        <v>170</v>
      </c>
      <c r="M3" s="5" t="s">
        <v>169</v>
      </c>
      <c r="N3" s="5" t="s">
        <v>77</v>
      </c>
      <c r="O3" s="5" t="s">
        <v>0</v>
      </c>
    </row>
    <row r="4" spans="1:15" ht="30" x14ac:dyDescent="0.25">
      <c r="A4" s="8" t="s">
        <v>57</v>
      </c>
      <c r="B4" s="26" t="s">
        <v>67</v>
      </c>
      <c r="C4" s="29" t="s">
        <v>37</v>
      </c>
      <c r="D4" s="27" t="s">
        <v>48</v>
      </c>
      <c r="E4" s="27" t="s">
        <v>7</v>
      </c>
      <c r="F4" s="27" t="s">
        <v>147</v>
      </c>
      <c r="G4" s="27" t="s">
        <v>130</v>
      </c>
      <c r="H4" s="27"/>
      <c r="I4" s="28">
        <v>300</v>
      </c>
      <c r="J4" s="28">
        <v>300</v>
      </c>
      <c r="K4" s="28">
        <v>300</v>
      </c>
      <c r="L4" s="28"/>
      <c r="M4" s="27" t="s">
        <v>47</v>
      </c>
      <c r="N4" s="19" t="s">
        <v>79</v>
      </c>
      <c r="O4" s="44" t="s">
        <v>258</v>
      </c>
    </row>
    <row r="5" spans="1:15" x14ac:dyDescent="0.25">
      <c r="A5" s="2" t="s">
        <v>58</v>
      </c>
      <c r="B5" s="11" t="s">
        <v>68</v>
      </c>
      <c r="C5" s="4" t="s">
        <v>37</v>
      </c>
      <c r="D5" s="3" t="s">
        <v>52</v>
      </c>
      <c r="E5" s="3" t="s">
        <v>7</v>
      </c>
      <c r="F5" s="33" t="s">
        <v>150</v>
      </c>
      <c r="G5" s="3" t="s">
        <v>130</v>
      </c>
      <c r="H5" s="3"/>
      <c r="I5" s="25"/>
      <c r="J5" s="25"/>
      <c r="K5" s="25"/>
      <c r="L5" s="25"/>
      <c r="M5" s="3" t="s">
        <v>47</v>
      </c>
      <c r="N5" s="3"/>
      <c r="O5" s="1"/>
    </row>
    <row r="6" spans="1:15" x14ac:dyDescent="0.25">
      <c r="A6" s="2" t="s">
        <v>59</v>
      </c>
      <c r="B6" s="11" t="s">
        <v>69</v>
      </c>
      <c r="C6" s="4" t="s">
        <v>37</v>
      </c>
      <c r="D6" s="3" t="s">
        <v>52</v>
      </c>
      <c r="E6" s="3" t="s">
        <v>7</v>
      </c>
      <c r="F6" s="33" t="s">
        <v>153</v>
      </c>
      <c r="G6" s="3" t="s">
        <v>130</v>
      </c>
      <c r="H6" s="3"/>
      <c r="I6" s="25"/>
      <c r="J6" s="25"/>
      <c r="K6" s="25"/>
      <c r="L6" s="25"/>
      <c r="M6" s="3" t="s">
        <v>47</v>
      </c>
      <c r="N6" s="3"/>
      <c r="O6" s="1"/>
    </row>
    <row r="7" spans="1:15" x14ac:dyDescent="0.25">
      <c r="A7" s="8" t="s">
        <v>60</v>
      </c>
      <c r="B7" s="26" t="s">
        <v>67</v>
      </c>
      <c r="C7" s="29" t="s">
        <v>37</v>
      </c>
      <c r="D7" s="27" t="s">
        <v>48</v>
      </c>
      <c r="E7" s="27" t="s">
        <v>7</v>
      </c>
      <c r="F7" s="27" t="s">
        <v>148</v>
      </c>
      <c r="G7" s="27" t="s">
        <v>130</v>
      </c>
      <c r="H7" s="27"/>
      <c r="I7" s="28">
        <v>350</v>
      </c>
      <c r="J7" s="28">
        <v>350</v>
      </c>
      <c r="K7" s="28">
        <v>350</v>
      </c>
      <c r="L7" s="28"/>
      <c r="M7" s="27" t="s">
        <v>47</v>
      </c>
      <c r="N7" s="19" t="s">
        <v>79</v>
      </c>
      <c r="O7" s="1"/>
    </row>
    <row r="8" spans="1:15" x14ac:dyDescent="0.25">
      <c r="A8" s="2" t="s">
        <v>61</v>
      </c>
      <c r="B8" s="11" t="s">
        <v>70</v>
      </c>
      <c r="C8" s="4" t="s">
        <v>37</v>
      </c>
      <c r="D8" s="3" t="s">
        <v>52</v>
      </c>
      <c r="E8" s="3" t="s">
        <v>7</v>
      </c>
      <c r="F8" s="33" t="s">
        <v>151</v>
      </c>
      <c r="G8" s="3" t="s">
        <v>130</v>
      </c>
      <c r="H8" s="3"/>
      <c r="I8" s="25"/>
      <c r="J8" s="25"/>
      <c r="K8" s="25"/>
      <c r="L8" s="25"/>
      <c r="M8" s="3" t="s">
        <v>47</v>
      </c>
      <c r="N8" s="3"/>
      <c r="O8" s="1"/>
    </row>
    <row r="9" spans="1:15" x14ac:dyDescent="0.25">
      <c r="A9" s="2" t="s">
        <v>62</v>
      </c>
      <c r="B9" s="11" t="s">
        <v>71</v>
      </c>
      <c r="C9" s="4" t="s">
        <v>37</v>
      </c>
      <c r="D9" s="3" t="s">
        <v>52</v>
      </c>
      <c r="E9" s="3" t="s">
        <v>7</v>
      </c>
      <c r="F9" s="33" t="s">
        <v>154</v>
      </c>
      <c r="G9" s="3" t="s">
        <v>130</v>
      </c>
      <c r="H9" s="3"/>
      <c r="I9" s="25"/>
      <c r="J9" s="25"/>
      <c r="K9" s="25"/>
      <c r="L9" s="25"/>
      <c r="M9" s="3" t="s">
        <v>47</v>
      </c>
      <c r="N9" s="3"/>
      <c r="O9" s="1"/>
    </row>
    <row r="10" spans="1:15" x14ac:dyDescent="0.25">
      <c r="A10" s="8" t="s">
        <v>63</v>
      </c>
      <c r="B10" s="26" t="s">
        <v>72</v>
      </c>
      <c r="C10" s="29" t="s">
        <v>37</v>
      </c>
      <c r="D10" s="27" t="s">
        <v>48</v>
      </c>
      <c r="E10" s="27" t="s">
        <v>7</v>
      </c>
      <c r="F10" s="27" t="s">
        <v>149</v>
      </c>
      <c r="G10" s="27" t="s">
        <v>130</v>
      </c>
      <c r="H10" s="27"/>
      <c r="I10" s="28">
        <v>400</v>
      </c>
      <c r="J10" s="28">
        <v>400</v>
      </c>
      <c r="K10" s="28">
        <v>400</v>
      </c>
      <c r="L10" s="28"/>
      <c r="M10" s="27" t="s">
        <v>47</v>
      </c>
      <c r="N10" s="19" t="s">
        <v>79</v>
      </c>
      <c r="O10" s="1"/>
    </row>
    <row r="11" spans="1:15" x14ac:dyDescent="0.25">
      <c r="A11" s="2" t="s">
        <v>64</v>
      </c>
      <c r="B11" s="11" t="s">
        <v>73</v>
      </c>
      <c r="C11" s="4" t="s">
        <v>37</v>
      </c>
      <c r="D11" s="3" t="s">
        <v>52</v>
      </c>
      <c r="E11" s="3" t="s">
        <v>7</v>
      </c>
      <c r="F11" s="33" t="s">
        <v>156</v>
      </c>
      <c r="G11" s="3" t="s">
        <v>130</v>
      </c>
      <c r="H11" s="3"/>
      <c r="I11" s="25"/>
      <c r="J11" s="25"/>
      <c r="K11" s="25"/>
      <c r="L11" s="25"/>
      <c r="M11" s="3" t="s">
        <v>47</v>
      </c>
      <c r="N11" s="3"/>
      <c r="O11" s="1"/>
    </row>
    <row r="12" spans="1:15" x14ac:dyDescent="0.25">
      <c r="A12" s="2" t="s">
        <v>65</v>
      </c>
      <c r="B12" s="11" t="s">
        <v>74</v>
      </c>
      <c r="C12" s="4" t="s">
        <v>37</v>
      </c>
      <c r="D12" s="3" t="s">
        <v>52</v>
      </c>
      <c r="E12" s="3" t="s">
        <v>7</v>
      </c>
      <c r="F12" s="33" t="s">
        <v>155</v>
      </c>
      <c r="G12" s="3" t="s">
        <v>130</v>
      </c>
      <c r="H12" s="3"/>
      <c r="I12" s="25"/>
      <c r="J12" s="25"/>
      <c r="K12" s="25"/>
      <c r="L12" s="25"/>
      <c r="M12" s="3" t="s">
        <v>47</v>
      </c>
      <c r="N12" s="3"/>
      <c r="O12" s="1"/>
    </row>
    <row r="13" spans="1:15" x14ac:dyDescent="0.25">
      <c r="A13" s="2" t="s">
        <v>66</v>
      </c>
      <c r="B13" s="11" t="s">
        <v>75</v>
      </c>
      <c r="C13" s="4" t="s">
        <v>37</v>
      </c>
      <c r="D13" s="3" t="s">
        <v>52</v>
      </c>
      <c r="E13" s="3" t="s">
        <v>7</v>
      </c>
      <c r="F13" s="33" t="s">
        <v>152</v>
      </c>
      <c r="G13" s="3" t="s">
        <v>130</v>
      </c>
      <c r="H13" s="3"/>
      <c r="I13" s="25"/>
      <c r="J13" s="25"/>
      <c r="K13" s="25"/>
      <c r="L13" s="25"/>
      <c r="M13" s="3" t="s">
        <v>47</v>
      </c>
      <c r="N13" s="3"/>
      <c r="O13" s="1"/>
    </row>
    <row r="14" spans="1:15" x14ac:dyDescent="0.25">
      <c r="A14" s="41" t="s">
        <v>181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1:15" ht="45" x14ac:dyDescent="0.25">
      <c r="A15" s="6" t="s">
        <v>17</v>
      </c>
      <c r="B15" s="3" t="s">
        <v>1</v>
      </c>
      <c r="C15" s="3" t="s">
        <v>3</v>
      </c>
      <c r="D15" s="3" t="s">
        <v>46</v>
      </c>
      <c r="E15" s="4" t="s">
        <v>6</v>
      </c>
      <c r="F15" s="4" t="s">
        <v>5</v>
      </c>
      <c r="G15" s="4" t="s">
        <v>136</v>
      </c>
      <c r="H15" s="5" t="s">
        <v>44</v>
      </c>
      <c r="I15" s="5" t="s">
        <v>49</v>
      </c>
      <c r="J15" s="5" t="s">
        <v>50</v>
      </c>
      <c r="K15" s="5" t="s">
        <v>2</v>
      </c>
      <c r="L15" s="5" t="s">
        <v>170</v>
      </c>
      <c r="M15" s="5" t="s">
        <v>169</v>
      </c>
      <c r="N15" s="5" t="s">
        <v>77</v>
      </c>
      <c r="O15" s="5" t="s">
        <v>0</v>
      </c>
    </row>
    <row r="16" spans="1:15" ht="30" x14ac:dyDescent="0.25">
      <c r="A16" s="10">
        <v>353151356900</v>
      </c>
      <c r="B16" s="3" t="s">
        <v>159</v>
      </c>
      <c r="C16" s="3" t="s">
        <v>158</v>
      </c>
      <c r="D16" s="3" t="s">
        <v>47</v>
      </c>
      <c r="E16" s="3" t="s">
        <v>7</v>
      </c>
      <c r="F16" s="3" t="s">
        <v>160</v>
      </c>
      <c r="G16" s="3" t="s">
        <v>130</v>
      </c>
      <c r="H16" s="3">
        <v>2</v>
      </c>
      <c r="I16" s="3">
        <v>70</v>
      </c>
      <c r="J16" s="3">
        <v>70</v>
      </c>
      <c r="K16" s="5" t="s">
        <v>167</v>
      </c>
      <c r="L16" s="5"/>
      <c r="M16" s="3" t="s">
        <v>47</v>
      </c>
      <c r="N16" s="3" t="s">
        <v>79</v>
      </c>
      <c r="O16" s="3" t="s">
        <v>259</v>
      </c>
    </row>
    <row r="17" spans="1:15" ht="45" x14ac:dyDescent="0.25">
      <c r="A17" s="10">
        <v>353152571200</v>
      </c>
      <c r="B17" s="3" t="s">
        <v>161</v>
      </c>
      <c r="C17" s="3" t="s">
        <v>158</v>
      </c>
      <c r="D17" s="3" t="s">
        <v>47</v>
      </c>
      <c r="E17" s="3" t="s">
        <v>7</v>
      </c>
      <c r="F17" s="3" t="s">
        <v>162</v>
      </c>
      <c r="G17" s="3" t="s">
        <v>130</v>
      </c>
      <c r="H17" s="3">
        <v>5.5</v>
      </c>
      <c r="I17" s="3">
        <v>102</v>
      </c>
      <c r="J17" s="3">
        <v>102</v>
      </c>
      <c r="K17" s="5" t="s">
        <v>168</v>
      </c>
      <c r="L17" s="5"/>
      <c r="M17" s="3" t="s">
        <v>47</v>
      </c>
      <c r="N17" s="3" t="s">
        <v>79</v>
      </c>
      <c r="O17" s="3" t="s">
        <v>260</v>
      </c>
    </row>
    <row r="18" spans="1:15" ht="45" x14ac:dyDescent="0.25">
      <c r="A18" s="10">
        <v>353152691200</v>
      </c>
      <c r="B18" s="3" t="s">
        <v>163</v>
      </c>
      <c r="C18" s="3" t="s">
        <v>158</v>
      </c>
      <c r="D18" s="3" t="s">
        <v>165</v>
      </c>
      <c r="E18" s="3" t="s">
        <v>7</v>
      </c>
      <c r="F18" s="3" t="s">
        <v>164</v>
      </c>
      <c r="G18" s="3" t="s">
        <v>130</v>
      </c>
      <c r="H18" s="3">
        <v>8.6999999999999993</v>
      </c>
      <c r="I18" s="3">
        <v>114</v>
      </c>
      <c r="J18" s="3">
        <v>114</v>
      </c>
      <c r="K18" s="5" t="s">
        <v>168</v>
      </c>
      <c r="L18" s="5"/>
      <c r="M18" s="3" t="s">
        <v>47</v>
      </c>
      <c r="N18" s="3" t="s">
        <v>79</v>
      </c>
      <c r="O18" s="3" t="s">
        <v>261</v>
      </c>
    </row>
    <row r="19" spans="1:15" ht="45" x14ac:dyDescent="0.25">
      <c r="A19" s="10">
        <v>353152801200</v>
      </c>
      <c r="B19" s="31" t="s">
        <v>299</v>
      </c>
      <c r="C19" s="31" t="s">
        <v>158</v>
      </c>
      <c r="D19" s="31" t="s">
        <v>165</v>
      </c>
      <c r="E19" s="31" t="s">
        <v>7</v>
      </c>
      <c r="F19" s="31" t="s">
        <v>164</v>
      </c>
      <c r="G19" s="31" t="s">
        <v>130</v>
      </c>
      <c r="H19" s="31">
        <v>9.5</v>
      </c>
      <c r="I19" s="31">
        <v>159</v>
      </c>
      <c r="J19" s="31">
        <v>159</v>
      </c>
      <c r="K19" s="5" t="s">
        <v>168</v>
      </c>
      <c r="L19" s="5"/>
      <c r="M19" s="31" t="s">
        <v>47</v>
      </c>
      <c r="N19" s="31" t="s">
        <v>79</v>
      </c>
      <c r="O19" s="31" t="s">
        <v>300</v>
      </c>
    </row>
    <row r="20" spans="1:15" ht="19.5" x14ac:dyDescent="0.3">
      <c r="A20" s="39" t="s">
        <v>101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</row>
    <row r="21" spans="1:15" x14ac:dyDescent="0.25">
      <c r="A21" s="40" t="s">
        <v>171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</row>
    <row r="22" spans="1:15" ht="45" x14ac:dyDescent="0.25">
      <c r="A22" s="25">
        <v>353441621200</v>
      </c>
      <c r="B22" s="31" t="s">
        <v>172</v>
      </c>
      <c r="C22" s="34" t="s">
        <v>41</v>
      </c>
      <c r="D22" s="34" t="s">
        <v>67</v>
      </c>
      <c r="E22" s="31" t="s">
        <v>182</v>
      </c>
      <c r="F22" s="31" t="s">
        <v>173</v>
      </c>
      <c r="G22" s="31" t="s">
        <v>131</v>
      </c>
      <c r="H22" s="4" t="s">
        <v>92</v>
      </c>
      <c r="I22" s="31">
        <v>300</v>
      </c>
      <c r="J22" s="31">
        <v>300</v>
      </c>
      <c r="K22" s="5" t="s">
        <v>168</v>
      </c>
      <c r="L22" s="31"/>
      <c r="M22" s="32" t="s">
        <v>47</v>
      </c>
      <c r="N22" s="32" t="s">
        <v>79</v>
      </c>
      <c r="O22" s="31" t="s">
        <v>262</v>
      </c>
    </row>
    <row r="23" spans="1:15" ht="45" x14ac:dyDescent="0.25">
      <c r="A23" s="25">
        <v>353441821200</v>
      </c>
      <c r="B23" s="31" t="s">
        <v>174</v>
      </c>
      <c r="C23" s="34" t="s">
        <v>41</v>
      </c>
      <c r="D23" s="34" t="s">
        <v>199</v>
      </c>
      <c r="E23" s="31" t="s">
        <v>182</v>
      </c>
      <c r="F23" s="31" t="s">
        <v>175</v>
      </c>
      <c r="G23" s="31" t="s">
        <v>131</v>
      </c>
      <c r="H23" s="4" t="s">
        <v>92</v>
      </c>
      <c r="I23" s="31">
        <v>350</v>
      </c>
      <c r="J23" s="31">
        <v>350</v>
      </c>
      <c r="K23" s="5" t="s">
        <v>168</v>
      </c>
      <c r="L23" s="31"/>
      <c r="M23" s="32" t="s">
        <v>47</v>
      </c>
      <c r="N23" s="32" t="s">
        <v>79</v>
      </c>
      <c r="O23" s="31" t="s">
        <v>263</v>
      </c>
    </row>
    <row r="24" spans="1:15" ht="45" x14ac:dyDescent="0.25">
      <c r="A24" s="25" t="s">
        <v>177</v>
      </c>
      <c r="B24" s="31" t="s">
        <v>176</v>
      </c>
      <c r="C24" s="34" t="s">
        <v>41</v>
      </c>
      <c r="D24" s="34" t="s">
        <v>72</v>
      </c>
      <c r="E24" s="31" t="s">
        <v>7</v>
      </c>
      <c r="F24" s="31" t="s">
        <v>178</v>
      </c>
      <c r="G24" s="31" t="s">
        <v>131</v>
      </c>
      <c r="H24" s="4" t="s">
        <v>92</v>
      </c>
      <c r="I24" s="31">
        <v>400</v>
      </c>
      <c r="J24" s="31">
        <v>400</v>
      </c>
      <c r="K24" s="5" t="s">
        <v>168</v>
      </c>
      <c r="L24" s="31"/>
      <c r="M24" s="32" t="s">
        <v>47</v>
      </c>
      <c r="N24" s="32" t="s">
        <v>79</v>
      </c>
      <c r="O24" s="31" t="s">
        <v>264</v>
      </c>
    </row>
    <row r="25" spans="1:15" x14ac:dyDescent="0.25">
      <c r="A25" s="40" t="s">
        <v>180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</row>
    <row r="26" spans="1:15" ht="45" x14ac:dyDescent="0.25">
      <c r="A26" s="25">
        <v>352454116900</v>
      </c>
      <c r="B26" s="31" t="s">
        <v>183</v>
      </c>
      <c r="C26" s="34" t="s">
        <v>34</v>
      </c>
      <c r="D26" s="34" t="s">
        <v>201</v>
      </c>
      <c r="E26" s="31" t="s">
        <v>7</v>
      </c>
      <c r="F26" s="31" t="s">
        <v>184</v>
      </c>
      <c r="G26" s="31" t="s">
        <v>131</v>
      </c>
      <c r="H26" s="4"/>
      <c r="I26" s="31"/>
      <c r="J26" s="31"/>
      <c r="K26" s="5" t="s">
        <v>157</v>
      </c>
      <c r="L26" s="31"/>
      <c r="M26" s="32" t="s">
        <v>200</v>
      </c>
      <c r="N26" s="32" t="s">
        <v>79</v>
      </c>
      <c r="O26" s="31" t="s">
        <v>265</v>
      </c>
    </row>
    <row r="27" spans="1:15" ht="30" x14ac:dyDescent="0.25">
      <c r="A27" s="25">
        <v>353451300200</v>
      </c>
      <c r="B27" s="31" t="s">
        <v>185</v>
      </c>
      <c r="C27" s="34" t="s">
        <v>179</v>
      </c>
      <c r="D27" s="34" t="s">
        <v>47</v>
      </c>
      <c r="E27" s="31" t="s">
        <v>7</v>
      </c>
      <c r="F27" s="31" t="s">
        <v>186</v>
      </c>
      <c r="G27" s="31" t="s">
        <v>131</v>
      </c>
      <c r="H27" s="4"/>
      <c r="I27" s="31"/>
      <c r="J27" s="31"/>
      <c r="K27" s="5" t="s">
        <v>167</v>
      </c>
      <c r="L27" s="31"/>
      <c r="M27" s="32" t="s">
        <v>47</v>
      </c>
      <c r="N27" s="32" t="s">
        <v>79</v>
      </c>
      <c r="O27" s="32" t="s">
        <v>268</v>
      </c>
    </row>
    <row r="28" spans="1:15" ht="30" x14ac:dyDescent="0.25">
      <c r="A28" s="25">
        <v>353451301200</v>
      </c>
      <c r="B28" s="31" t="s">
        <v>187</v>
      </c>
      <c r="C28" s="34" t="s">
        <v>179</v>
      </c>
      <c r="D28" s="34" t="s">
        <v>47</v>
      </c>
      <c r="E28" s="31" t="s">
        <v>76</v>
      </c>
      <c r="F28" s="31" t="s">
        <v>92</v>
      </c>
      <c r="G28" s="31" t="s">
        <v>131</v>
      </c>
      <c r="H28" s="4"/>
      <c r="I28" s="31"/>
      <c r="J28" s="31"/>
      <c r="K28" s="5" t="s">
        <v>167</v>
      </c>
      <c r="L28" s="31"/>
      <c r="M28" s="32" t="s">
        <v>47</v>
      </c>
      <c r="N28" s="32" t="s">
        <v>79</v>
      </c>
      <c r="O28" s="32" t="s">
        <v>266</v>
      </c>
    </row>
    <row r="29" spans="1:15" ht="45" x14ac:dyDescent="0.25">
      <c r="A29" s="25">
        <v>353451500200</v>
      </c>
      <c r="B29" s="31" t="s">
        <v>188</v>
      </c>
      <c r="C29" s="34" t="s">
        <v>179</v>
      </c>
      <c r="D29" s="34" t="s">
        <v>47</v>
      </c>
      <c r="E29" s="31" t="s">
        <v>76</v>
      </c>
      <c r="F29" s="31" t="s">
        <v>92</v>
      </c>
      <c r="G29" s="31" t="s">
        <v>131</v>
      </c>
      <c r="H29" s="4"/>
      <c r="I29" s="31"/>
      <c r="J29" s="31"/>
      <c r="K29" s="5" t="s">
        <v>168</v>
      </c>
      <c r="L29" s="31"/>
      <c r="M29" s="32" t="s">
        <v>47</v>
      </c>
      <c r="N29" s="32" t="s">
        <v>79</v>
      </c>
      <c r="O29" s="32" t="s">
        <v>267</v>
      </c>
    </row>
    <row r="30" spans="1:15" ht="45" x14ac:dyDescent="0.25">
      <c r="A30" s="25">
        <v>353451516900</v>
      </c>
      <c r="B30" s="31" t="s">
        <v>189</v>
      </c>
      <c r="C30" s="34" t="s">
        <v>179</v>
      </c>
      <c r="D30" s="34" t="s">
        <v>47</v>
      </c>
      <c r="E30" s="31" t="s">
        <v>7</v>
      </c>
      <c r="F30" s="31" t="s">
        <v>190</v>
      </c>
      <c r="G30" s="31" t="s">
        <v>131</v>
      </c>
      <c r="H30" s="4"/>
      <c r="I30" s="31"/>
      <c r="J30" s="31"/>
      <c r="K30" s="5" t="s">
        <v>168</v>
      </c>
      <c r="L30" s="31"/>
      <c r="M30" s="32" t="s">
        <v>47</v>
      </c>
      <c r="N30" s="32" t="s">
        <v>79</v>
      </c>
      <c r="O30" s="32" t="s">
        <v>269</v>
      </c>
    </row>
    <row r="31" spans="1:15" ht="45" x14ac:dyDescent="0.25">
      <c r="A31" s="25">
        <v>353451616900</v>
      </c>
      <c r="B31" s="31" t="s">
        <v>191</v>
      </c>
      <c r="C31" s="34" t="s">
        <v>179</v>
      </c>
      <c r="D31" s="34" t="s">
        <v>47</v>
      </c>
      <c r="E31" s="31" t="s">
        <v>7</v>
      </c>
      <c r="F31" s="31" t="s">
        <v>192</v>
      </c>
      <c r="G31" s="31" t="s">
        <v>131</v>
      </c>
      <c r="H31" s="4"/>
      <c r="I31" s="31"/>
      <c r="J31" s="31"/>
      <c r="K31" s="5" t="s">
        <v>168</v>
      </c>
      <c r="L31" s="31"/>
      <c r="M31" s="32" t="s">
        <v>47</v>
      </c>
      <c r="N31" s="32" t="s">
        <v>79</v>
      </c>
      <c r="O31" s="32" t="s">
        <v>274</v>
      </c>
    </row>
    <row r="32" spans="1:15" ht="30" x14ac:dyDescent="0.25">
      <c r="A32" s="25">
        <v>353451716900</v>
      </c>
      <c r="B32" s="31" t="s">
        <v>301</v>
      </c>
      <c r="C32" s="34" t="s">
        <v>179</v>
      </c>
      <c r="D32" s="34" t="s">
        <v>47</v>
      </c>
      <c r="E32" s="31" t="s">
        <v>7</v>
      </c>
      <c r="F32" s="31" t="s">
        <v>192</v>
      </c>
      <c r="G32" s="31" t="s">
        <v>131</v>
      </c>
      <c r="H32" s="4"/>
      <c r="I32" s="31"/>
      <c r="J32" s="31"/>
      <c r="K32" s="5" t="s">
        <v>302</v>
      </c>
      <c r="L32" s="31"/>
      <c r="M32" s="32" t="s">
        <v>47</v>
      </c>
      <c r="N32" s="32" t="s">
        <v>79</v>
      </c>
      <c r="O32" s="32" t="s">
        <v>303</v>
      </c>
    </row>
    <row r="33" spans="1:15" ht="45" x14ac:dyDescent="0.25">
      <c r="A33" s="25">
        <v>353456526200</v>
      </c>
      <c r="B33" s="31" t="s">
        <v>193</v>
      </c>
      <c r="C33" s="34" t="s">
        <v>179</v>
      </c>
      <c r="D33" s="34" t="s">
        <v>47</v>
      </c>
      <c r="E33" s="31" t="s">
        <v>7</v>
      </c>
      <c r="F33" s="31" t="s">
        <v>194</v>
      </c>
      <c r="G33" s="31" t="s">
        <v>131</v>
      </c>
      <c r="H33" s="4"/>
      <c r="I33" s="31"/>
      <c r="J33" s="31"/>
      <c r="K33" s="5" t="s">
        <v>168</v>
      </c>
      <c r="L33" s="31"/>
      <c r="M33" s="32" t="s">
        <v>47</v>
      </c>
      <c r="N33" s="32" t="s">
        <v>79</v>
      </c>
      <c r="O33" s="32" t="s">
        <v>271</v>
      </c>
    </row>
    <row r="34" spans="1:15" ht="45" x14ac:dyDescent="0.25">
      <c r="A34" s="25">
        <v>353456651100</v>
      </c>
      <c r="B34" s="31" t="s">
        <v>195</v>
      </c>
      <c r="C34" s="34" t="s">
        <v>179</v>
      </c>
      <c r="D34" s="34" t="s">
        <v>47</v>
      </c>
      <c r="E34" s="31" t="s">
        <v>7</v>
      </c>
      <c r="F34" s="31" t="s">
        <v>196</v>
      </c>
      <c r="G34" s="31" t="s">
        <v>131</v>
      </c>
      <c r="H34" s="4"/>
      <c r="I34" s="31"/>
      <c r="J34" s="31"/>
      <c r="K34" s="5" t="s">
        <v>168</v>
      </c>
      <c r="L34" s="31"/>
      <c r="M34" s="32" t="s">
        <v>47</v>
      </c>
      <c r="N34" s="32" t="s">
        <v>79</v>
      </c>
      <c r="O34" s="32" t="s">
        <v>271</v>
      </c>
    </row>
    <row r="35" spans="1:15" ht="45" x14ac:dyDescent="0.25">
      <c r="A35" s="25">
        <v>353457311100</v>
      </c>
      <c r="B35" s="31" t="s">
        <v>197</v>
      </c>
      <c r="C35" s="34" t="s">
        <v>179</v>
      </c>
      <c r="D35" s="34" t="s">
        <v>47</v>
      </c>
      <c r="E35" s="31" t="s">
        <v>7</v>
      </c>
      <c r="F35" s="31" t="s">
        <v>198</v>
      </c>
      <c r="G35" s="31" t="s">
        <v>131</v>
      </c>
      <c r="H35" s="4"/>
      <c r="I35" s="31"/>
      <c r="J35" s="31"/>
      <c r="K35" s="5" t="s">
        <v>167</v>
      </c>
      <c r="L35" s="31"/>
      <c r="M35" s="32" t="s">
        <v>47</v>
      </c>
      <c r="N35" s="32" t="s">
        <v>79</v>
      </c>
      <c r="O35" s="32" t="s">
        <v>270</v>
      </c>
    </row>
    <row r="36" spans="1:15" x14ac:dyDescent="0.25">
      <c r="H36" s="9"/>
      <c r="I36" s="22"/>
      <c r="J36"/>
      <c r="K36"/>
      <c r="L36"/>
    </row>
    <row r="37" spans="1:15" x14ac:dyDescent="0.25">
      <c r="H37" s="9"/>
      <c r="I37" s="22"/>
      <c r="J37"/>
      <c r="K37"/>
      <c r="L37"/>
    </row>
    <row r="38" spans="1:15" x14ac:dyDescent="0.25">
      <c r="H38" s="9"/>
      <c r="I38" s="22"/>
      <c r="J38"/>
      <c r="K38"/>
      <c r="L38"/>
    </row>
    <row r="39" spans="1:15" x14ac:dyDescent="0.25">
      <c r="H39" s="9"/>
      <c r="I39" s="22"/>
      <c r="J39"/>
      <c r="K39"/>
      <c r="L39"/>
    </row>
    <row r="40" spans="1:15" x14ac:dyDescent="0.25">
      <c r="H40" s="9"/>
      <c r="I40" s="22"/>
      <c r="J40"/>
      <c r="K40"/>
      <c r="L40"/>
    </row>
    <row r="41" spans="1:15" x14ac:dyDescent="0.25">
      <c r="H41" s="9"/>
      <c r="I41" s="22"/>
      <c r="J41"/>
      <c r="K41"/>
      <c r="L41"/>
    </row>
    <row r="42" spans="1:15" x14ac:dyDescent="0.25">
      <c r="H42" s="9"/>
      <c r="I42" s="22"/>
      <c r="J42"/>
      <c r="K42"/>
      <c r="L42"/>
    </row>
  </sheetData>
  <mergeCells count="6">
    <mergeCell ref="A25:O25"/>
    <mergeCell ref="A20:O20"/>
    <mergeCell ref="A21:O21"/>
    <mergeCell ref="A1:O1"/>
    <mergeCell ref="A2:O2"/>
    <mergeCell ref="A14:O14"/>
  </mergeCells>
  <conditionalFormatting sqref="C26:D31 C33:D35">
    <cfRule type="expression" dxfId="19" priority="81">
      <formula>$O26="Pasif"</formula>
    </cfRule>
  </conditionalFormatting>
  <conditionalFormatting sqref="B4">
    <cfRule type="expression" dxfId="18" priority="78">
      <formula>$O4="Pasif"</formula>
    </cfRule>
  </conditionalFormatting>
  <conditionalFormatting sqref="B5">
    <cfRule type="expression" dxfId="17" priority="77">
      <formula>$O5="Pasif"</formula>
    </cfRule>
  </conditionalFormatting>
  <conditionalFormatting sqref="B6">
    <cfRule type="expression" dxfId="16" priority="76">
      <formula>$O6="Pasif"</formula>
    </cfRule>
  </conditionalFormatting>
  <conditionalFormatting sqref="B11">
    <cfRule type="expression" dxfId="15" priority="71">
      <formula>$O11="Pasif"</formula>
    </cfRule>
  </conditionalFormatting>
  <conditionalFormatting sqref="B8">
    <cfRule type="expression" dxfId="14" priority="74">
      <formula>$O8="Pasif"</formula>
    </cfRule>
  </conditionalFormatting>
  <conditionalFormatting sqref="B9">
    <cfRule type="expression" dxfId="13" priority="73">
      <formula>$O9="Pasif"</formula>
    </cfRule>
  </conditionalFormatting>
  <conditionalFormatting sqref="B10">
    <cfRule type="expression" dxfId="12" priority="72">
      <formula>$O10="Pasif"</formula>
    </cfRule>
  </conditionalFormatting>
  <conditionalFormatting sqref="B12">
    <cfRule type="expression" dxfId="11" priority="70">
      <formula>$O12="Pasif"</formula>
    </cfRule>
  </conditionalFormatting>
  <conditionalFormatting sqref="B13">
    <cfRule type="expression" dxfId="10" priority="69">
      <formula>$O13="Pasif"</formula>
    </cfRule>
  </conditionalFormatting>
  <conditionalFormatting sqref="C22:C24">
    <cfRule type="expression" dxfId="9" priority="11">
      <formula>$O22="Pasif"</formula>
    </cfRule>
  </conditionalFormatting>
  <conditionalFormatting sqref="B7">
    <cfRule type="expression" dxfId="8" priority="9">
      <formula>$O7="Pasif"</formula>
    </cfRule>
  </conditionalFormatting>
  <conditionalFormatting sqref="D22:D24">
    <cfRule type="expression" dxfId="7" priority="6">
      <formula>$O22="Pasif"</formula>
    </cfRule>
  </conditionalFormatting>
  <conditionalFormatting sqref="C32:D32">
    <cfRule type="expression" dxfId="1" priority="1">
      <formula>$O32="Pasif"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opLeftCell="C1" zoomScale="70" zoomScaleNormal="70" workbookViewId="0">
      <selection activeCell="O11" sqref="O11"/>
    </sheetView>
  </sheetViews>
  <sheetFormatPr defaultRowHeight="15" x14ac:dyDescent="0.25"/>
  <cols>
    <col min="1" max="1" width="16.28515625" bestFit="1" customWidth="1"/>
    <col min="2" max="2" width="41.28515625" bestFit="1" customWidth="1"/>
    <col min="3" max="3" width="25" bestFit="1" customWidth="1"/>
    <col min="4" max="4" width="35.5703125" bestFit="1" customWidth="1"/>
    <col min="5" max="5" width="16.28515625" bestFit="1" customWidth="1"/>
    <col min="6" max="6" width="13.7109375" bestFit="1" customWidth="1"/>
    <col min="7" max="7" width="13.7109375" customWidth="1"/>
    <col min="8" max="8" width="8.28515625" bestFit="1" customWidth="1"/>
    <col min="9" max="9" width="13.85546875" bestFit="1" customWidth="1"/>
    <col min="10" max="10" width="13.85546875" customWidth="1"/>
    <col min="11" max="11" width="12.5703125" bestFit="1" customWidth="1"/>
    <col min="12" max="12" width="12.5703125" customWidth="1"/>
    <col min="13" max="13" width="22.7109375" bestFit="1" customWidth="1"/>
    <col min="14" max="14" width="15.5703125" customWidth="1"/>
    <col min="15" max="15" width="34.5703125" bestFit="1" customWidth="1"/>
  </cols>
  <sheetData>
    <row r="1" spans="1:15" ht="19.5" x14ac:dyDescent="0.3">
      <c r="A1" s="39" t="s">
        <v>78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ht="17.25" x14ac:dyDescent="0.3">
      <c r="A2" s="38" t="s">
        <v>204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45" x14ac:dyDescent="0.25">
      <c r="A3" s="14" t="s">
        <v>17</v>
      </c>
      <c r="B3" s="15" t="s">
        <v>1</v>
      </c>
      <c r="C3" s="15" t="s">
        <v>3</v>
      </c>
      <c r="D3" s="15" t="s">
        <v>2</v>
      </c>
      <c r="E3" s="16" t="s">
        <v>6</v>
      </c>
      <c r="F3" s="16" t="s">
        <v>5</v>
      </c>
      <c r="G3" s="16" t="s">
        <v>131</v>
      </c>
      <c r="H3" s="17" t="s">
        <v>18</v>
      </c>
      <c r="I3" s="17" t="s">
        <v>8</v>
      </c>
      <c r="J3" s="17" t="s">
        <v>11</v>
      </c>
      <c r="K3" s="17" t="s">
        <v>83</v>
      </c>
      <c r="L3" s="17" t="s">
        <v>170</v>
      </c>
      <c r="M3" s="17" t="s">
        <v>53</v>
      </c>
      <c r="N3" s="17" t="s">
        <v>84</v>
      </c>
      <c r="O3" s="5" t="s">
        <v>0</v>
      </c>
    </row>
    <row r="4" spans="1:15" ht="90" x14ac:dyDescent="0.25">
      <c r="A4" s="2" t="s">
        <v>89</v>
      </c>
      <c r="B4" s="11" t="s">
        <v>85</v>
      </c>
      <c r="C4" s="3" t="s">
        <v>36</v>
      </c>
      <c r="D4" s="5" t="s">
        <v>86</v>
      </c>
      <c r="E4" s="3" t="s">
        <v>87</v>
      </c>
      <c r="F4" s="3" t="s">
        <v>98</v>
      </c>
      <c r="G4" s="31" t="s">
        <v>130</v>
      </c>
      <c r="H4" s="13">
        <v>1.23</v>
      </c>
      <c r="I4" s="4">
        <v>100</v>
      </c>
      <c r="J4" s="4">
        <v>35</v>
      </c>
      <c r="K4" s="4">
        <v>67</v>
      </c>
      <c r="L4" s="4"/>
      <c r="M4" s="6" t="s">
        <v>45</v>
      </c>
      <c r="N4" s="3" t="s">
        <v>55</v>
      </c>
      <c r="O4" s="44" t="s">
        <v>275</v>
      </c>
    </row>
    <row r="5" spans="1:15" ht="60" x14ac:dyDescent="0.25">
      <c r="A5" s="2" t="s">
        <v>90</v>
      </c>
      <c r="B5" s="11" t="s">
        <v>88</v>
      </c>
      <c r="C5" s="3" t="s">
        <v>36</v>
      </c>
      <c r="D5" s="5" t="s">
        <v>91</v>
      </c>
      <c r="E5" s="3" t="s">
        <v>7</v>
      </c>
      <c r="F5" s="3"/>
      <c r="G5" s="31" t="s">
        <v>130</v>
      </c>
      <c r="H5" s="13">
        <v>3.01</v>
      </c>
      <c r="I5" s="4">
        <v>140</v>
      </c>
      <c r="J5" s="4">
        <v>50</v>
      </c>
      <c r="K5" s="4">
        <v>70</v>
      </c>
      <c r="L5" s="4"/>
      <c r="M5" s="6" t="s">
        <v>45</v>
      </c>
      <c r="N5" s="3" t="s">
        <v>56</v>
      </c>
      <c r="O5" s="44" t="s">
        <v>275</v>
      </c>
    </row>
    <row r="6" spans="1:15" ht="17.25" x14ac:dyDescent="0.3">
      <c r="A6" s="38" t="s">
        <v>205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</row>
    <row r="7" spans="1:15" ht="60" x14ac:dyDescent="0.25">
      <c r="A7" s="2">
        <v>353330701100</v>
      </c>
      <c r="B7" s="11" t="s">
        <v>202</v>
      </c>
      <c r="C7" s="11" t="s">
        <v>40</v>
      </c>
      <c r="D7" s="5" t="s">
        <v>86</v>
      </c>
      <c r="E7" s="31" t="s">
        <v>7</v>
      </c>
      <c r="F7" s="31" t="s">
        <v>203</v>
      </c>
      <c r="G7" s="31" t="s">
        <v>137</v>
      </c>
      <c r="H7" s="12"/>
      <c r="I7" s="31"/>
      <c r="J7" s="31"/>
      <c r="K7" s="31"/>
      <c r="L7" s="31"/>
      <c r="M7" s="32" t="s">
        <v>47</v>
      </c>
      <c r="N7" s="31" t="s">
        <v>55</v>
      </c>
      <c r="O7" s="30" t="s">
        <v>276</v>
      </c>
    </row>
    <row r="8" spans="1:15" ht="60" x14ac:dyDescent="0.25">
      <c r="A8" s="2">
        <v>353330701700</v>
      </c>
      <c r="B8" s="11" t="s">
        <v>250</v>
      </c>
      <c r="C8" s="11" t="s">
        <v>40</v>
      </c>
      <c r="D8" s="5" t="s">
        <v>86</v>
      </c>
      <c r="E8" s="31" t="s">
        <v>76</v>
      </c>
      <c r="F8" s="31" t="s">
        <v>92</v>
      </c>
      <c r="G8" s="31" t="s">
        <v>130</v>
      </c>
      <c r="H8" s="12"/>
      <c r="I8" s="31"/>
      <c r="J8" s="31"/>
      <c r="K8" s="31"/>
      <c r="L8" s="31"/>
      <c r="M8" s="32" t="s">
        <v>47</v>
      </c>
      <c r="N8" s="31" t="s">
        <v>55</v>
      </c>
      <c r="O8" s="30" t="s">
        <v>277</v>
      </c>
    </row>
    <row r="9" spans="1:15" ht="60" x14ac:dyDescent="0.25">
      <c r="A9" s="25">
        <v>124110671200</v>
      </c>
      <c r="B9" s="31" t="s">
        <v>294</v>
      </c>
      <c r="C9" s="11" t="s">
        <v>40</v>
      </c>
      <c r="D9" s="5" t="s">
        <v>86</v>
      </c>
      <c r="E9" s="31" t="s">
        <v>7</v>
      </c>
      <c r="F9" s="31" t="s">
        <v>295</v>
      </c>
      <c r="G9" s="31" t="s">
        <v>130</v>
      </c>
      <c r="H9" s="1"/>
      <c r="I9" s="1"/>
      <c r="J9" s="1"/>
      <c r="K9" s="1"/>
      <c r="L9" s="1"/>
      <c r="M9" s="32" t="s">
        <v>47</v>
      </c>
      <c r="N9" s="31" t="s">
        <v>55</v>
      </c>
      <c r="O9" s="37" t="s">
        <v>277</v>
      </c>
    </row>
    <row r="10" spans="1:15" ht="45" x14ac:dyDescent="0.25">
      <c r="A10" s="25">
        <v>124110671800</v>
      </c>
      <c r="B10" s="31" t="s">
        <v>251</v>
      </c>
      <c r="C10" s="11" t="s">
        <v>40</v>
      </c>
      <c r="D10" s="5" t="s">
        <v>91</v>
      </c>
      <c r="E10" s="31" t="s">
        <v>7</v>
      </c>
      <c r="F10" s="31" t="s">
        <v>252</v>
      </c>
      <c r="G10" s="31" t="s">
        <v>130</v>
      </c>
      <c r="H10" s="1"/>
      <c r="I10" s="1"/>
      <c r="J10" s="1"/>
      <c r="K10" s="1"/>
      <c r="L10" s="1"/>
      <c r="M10" s="32" t="s">
        <v>47</v>
      </c>
      <c r="N10" s="31" t="s">
        <v>56</v>
      </c>
      <c r="O10" s="37" t="s">
        <v>296</v>
      </c>
    </row>
  </sheetData>
  <mergeCells count="3">
    <mergeCell ref="A1:O1"/>
    <mergeCell ref="A2:O2"/>
    <mergeCell ref="A6:O6"/>
  </mergeCells>
  <conditionalFormatting sqref="B7:C8">
    <cfRule type="expression" dxfId="6" priority="37">
      <formula>$M7="Pasif"</formula>
    </cfRule>
  </conditionalFormatting>
  <conditionalFormatting sqref="B4">
    <cfRule type="expression" dxfId="5" priority="32">
      <formula>#REF!="Pasif"</formula>
    </cfRule>
  </conditionalFormatting>
  <conditionalFormatting sqref="B5">
    <cfRule type="expression" dxfId="4" priority="31">
      <formula>#REF!="Pasif"</formula>
    </cfRule>
  </conditionalFormatting>
  <conditionalFormatting sqref="C10">
    <cfRule type="expression" dxfId="3" priority="2">
      <formula>$M10="Pasif"</formula>
    </cfRule>
  </conditionalFormatting>
  <conditionalFormatting sqref="C9">
    <cfRule type="expression" dxfId="2" priority="1">
      <formula>$M9="Pasif"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zoomScale="85" zoomScaleNormal="85" workbookViewId="0">
      <selection activeCell="R15" sqref="R15"/>
    </sheetView>
  </sheetViews>
  <sheetFormatPr defaultRowHeight="15" x14ac:dyDescent="0.25"/>
  <cols>
    <col min="1" max="1" width="16.28515625" bestFit="1" customWidth="1"/>
    <col min="2" max="2" width="54.28515625" bestFit="1" customWidth="1"/>
    <col min="3" max="3" width="21.42578125" bestFit="1" customWidth="1"/>
    <col min="4" max="4" width="15.85546875" style="24" bestFit="1" customWidth="1"/>
    <col min="5" max="5" width="18.140625" bestFit="1" customWidth="1"/>
    <col min="6" max="6" width="5.7109375" bestFit="1" customWidth="1"/>
    <col min="7" max="7" width="6.42578125" bestFit="1" customWidth="1"/>
    <col min="8" max="8" width="7.7109375" bestFit="1" customWidth="1"/>
    <col min="9" max="9" width="9.85546875" bestFit="1" customWidth="1"/>
    <col min="10" max="10" width="11.5703125" customWidth="1"/>
    <col min="11" max="11" width="24.140625" bestFit="1" customWidth="1"/>
    <col min="12" max="12" width="10.7109375" bestFit="1" customWidth="1"/>
    <col min="13" max="13" width="12.140625" bestFit="1" customWidth="1"/>
    <col min="14" max="14" width="42.28515625" bestFit="1" customWidth="1"/>
    <col min="17" max="17" width="12.7109375" bestFit="1" customWidth="1"/>
  </cols>
  <sheetData>
    <row r="1" spans="1:26" ht="19.5" x14ac:dyDescent="0.3">
      <c r="A1" s="42" t="s">
        <v>209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26" ht="17.25" x14ac:dyDescent="0.3">
      <c r="A2" s="43" t="s">
        <v>208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Q2" s="45" t="s">
        <v>293</v>
      </c>
      <c r="R2" s="45"/>
      <c r="S2" s="45"/>
      <c r="T2" s="45"/>
      <c r="U2" s="45"/>
      <c r="V2" s="45"/>
      <c r="W2" s="45"/>
      <c r="X2" s="45"/>
      <c r="Y2" s="45"/>
      <c r="Z2" s="45"/>
    </row>
    <row r="3" spans="1:26" ht="45" x14ac:dyDescent="0.25">
      <c r="A3" s="32" t="s">
        <v>129</v>
      </c>
      <c r="B3" s="31" t="s">
        <v>1</v>
      </c>
      <c r="C3" s="31" t="s">
        <v>3</v>
      </c>
      <c r="D3" s="4" t="s">
        <v>6</v>
      </c>
      <c r="E3" s="4" t="s">
        <v>5</v>
      </c>
      <c r="F3" s="4" t="s">
        <v>136</v>
      </c>
      <c r="G3" s="5" t="s">
        <v>229</v>
      </c>
      <c r="H3" s="5" t="s">
        <v>228</v>
      </c>
      <c r="I3" s="5" t="s">
        <v>207</v>
      </c>
      <c r="J3" s="5" t="s">
        <v>230</v>
      </c>
      <c r="K3" s="31" t="s">
        <v>206</v>
      </c>
      <c r="L3" s="5" t="s">
        <v>77</v>
      </c>
      <c r="M3" s="5" t="s">
        <v>231</v>
      </c>
      <c r="N3" s="5" t="s">
        <v>0</v>
      </c>
      <c r="Q3" s="31" t="s">
        <v>292</v>
      </c>
      <c r="R3" s="31" t="s">
        <v>283</v>
      </c>
      <c r="S3" s="31" t="s">
        <v>284</v>
      </c>
      <c r="T3" s="31" t="s">
        <v>285</v>
      </c>
      <c r="U3" s="31" t="s">
        <v>286</v>
      </c>
      <c r="V3" s="31" t="s">
        <v>287</v>
      </c>
      <c r="W3" s="31" t="s">
        <v>288</v>
      </c>
      <c r="X3" s="31" t="s">
        <v>289</v>
      </c>
      <c r="Y3" s="31" t="s">
        <v>290</v>
      </c>
      <c r="Z3" s="31" t="s">
        <v>291</v>
      </c>
    </row>
    <row r="4" spans="1:26" x14ac:dyDescent="0.25">
      <c r="A4" s="25">
        <v>353511330080</v>
      </c>
      <c r="B4" s="31" t="s">
        <v>210</v>
      </c>
      <c r="C4" s="31" t="s">
        <v>42</v>
      </c>
      <c r="D4" s="31" t="s">
        <v>7</v>
      </c>
      <c r="E4" s="31" t="s">
        <v>211</v>
      </c>
      <c r="F4" s="31" t="s">
        <v>131</v>
      </c>
      <c r="G4" s="31"/>
      <c r="H4" s="31">
        <v>900</v>
      </c>
      <c r="I4" s="31" t="s">
        <v>82</v>
      </c>
      <c r="J4" s="31">
        <v>100</v>
      </c>
      <c r="K4" s="23" t="s">
        <v>80</v>
      </c>
      <c r="L4" s="31" t="s">
        <v>79</v>
      </c>
      <c r="M4" s="31">
        <v>70</v>
      </c>
      <c r="N4" s="31" t="s">
        <v>298</v>
      </c>
      <c r="Q4" s="1" t="s">
        <v>278</v>
      </c>
      <c r="R4" s="23">
        <v>19</v>
      </c>
      <c r="S4" s="31">
        <v>22</v>
      </c>
      <c r="T4" s="23">
        <v>23.5</v>
      </c>
      <c r="U4" s="23">
        <v>26</v>
      </c>
      <c r="V4" s="23">
        <v>44</v>
      </c>
      <c r="W4" s="23">
        <v>58</v>
      </c>
      <c r="X4" s="23" t="s">
        <v>92</v>
      </c>
      <c r="Y4" s="23" t="s">
        <v>92</v>
      </c>
      <c r="Z4" s="23" t="s">
        <v>92</v>
      </c>
    </row>
    <row r="5" spans="1:26" x14ac:dyDescent="0.25">
      <c r="A5" s="25">
        <v>353511330100</v>
      </c>
      <c r="B5" s="31" t="s">
        <v>212</v>
      </c>
      <c r="C5" s="31" t="s">
        <v>42</v>
      </c>
      <c r="D5" s="31" t="s">
        <v>7</v>
      </c>
      <c r="E5" s="31" t="s">
        <v>213</v>
      </c>
      <c r="F5" s="31" t="s">
        <v>131</v>
      </c>
      <c r="G5" s="31"/>
      <c r="H5" s="31">
        <v>900</v>
      </c>
      <c r="I5" s="31" t="s">
        <v>82</v>
      </c>
      <c r="J5" s="31">
        <v>120</v>
      </c>
      <c r="K5" s="23" t="s">
        <v>80</v>
      </c>
      <c r="L5" s="31" t="s">
        <v>79</v>
      </c>
      <c r="M5" s="31">
        <v>70</v>
      </c>
      <c r="N5" s="31" t="s">
        <v>298</v>
      </c>
      <c r="Q5" s="1" t="s">
        <v>279</v>
      </c>
      <c r="R5" s="23">
        <v>9</v>
      </c>
      <c r="S5" s="23">
        <v>11</v>
      </c>
      <c r="T5" s="23">
        <v>12</v>
      </c>
      <c r="U5" s="23">
        <v>13</v>
      </c>
      <c r="V5" s="23">
        <v>20</v>
      </c>
      <c r="W5" s="23">
        <v>26</v>
      </c>
      <c r="X5" s="23" t="s">
        <v>92</v>
      </c>
      <c r="Y5" s="23" t="s">
        <v>92</v>
      </c>
      <c r="Z5" s="23" t="s">
        <v>92</v>
      </c>
    </row>
    <row r="6" spans="1:26" x14ac:dyDescent="0.25">
      <c r="A6" s="25">
        <v>353511330120</v>
      </c>
      <c r="B6" s="31" t="s">
        <v>214</v>
      </c>
      <c r="C6" s="31" t="s">
        <v>42</v>
      </c>
      <c r="D6" s="31" t="s">
        <v>7</v>
      </c>
      <c r="E6" s="31" t="s">
        <v>215</v>
      </c>
      <c r="F6" s="31" t="s">
        <v>131</v>
      </c>
      <c r="G6" s="31"/>
      <c r="H6" s="31">
        <v>900</v>
      </c>
      <c r="I6" s="31" t="s">
        <v>82</v>
      </c>
      <c r="J6" s="31">
        <v>150</v>
      </c>
      <c r="K6" s="23" t="s">
        <v>80</v>
      </c>
      <c r="L6" s="31" t="s">
        <v>79</v>
      </c>
      <c r="M6" s="31">
        <v>70</v>
      </c>
      <c r="N6" s="31" t="s">
        <v>298</v>
      </c>
      <c r="Q6" s="1" t="s">
        <v>280</v>
      </c>
      <c r="R6" s="23">
        <v>12</v>
      </c>
      <c r="S6" s="23">
        <v>14</v>
      </c>
      <c r="T6" s="23">
        <v>16</v>
      </c>
      <c r="U6" s="23">
        <v>17</v>
      </c>
      <c r="V6" s="23">
        <v>28</v>
      </c>
      <c r="W6" s="23">
        <v>37</v>
      </c>
      <c r="X6" s="23" t="s">
        <v>92</v>
      </c>
      <c r="Y6" s="23" t="s">
        <v>92</v>
      </c>
      <c r="Z6" s="23" t="s">
        <v>92</v>
      </c>
    </row>
    <row r="7" spans="1:26" x14ac:dyDescent="0.25">
      <c r="A7" s="25">
        <v>353511330140</v>
      </c>
      <c r="B7" s="31" t="s">
        <v>227</v>
      </c>
      <c r="C7" s="31" t="s">
        <v>42</v>
      </c>
      <c r="D7" s="31" t="s">
        <v>7</v>
      </c>
      <c r="E7" s="31" t="s">
        <v>216</v>
      </c>
      <c r="F7" s="31" t="s">
        <v>131</v>
      </c>
      <c r="G7" s="31"/>
      <c r="H7" s="31">
        <v>900</v>
      </c>
      <c r="I7" s="31" t="s">
        <v>82</v>
      </c>
      <c r="J7" s="31">
        <v>160</v>
      </c>
      <c r="K7" s="23" t="s">
        <v>80</v>
      </c>
      <c r="L7" s="31" t="s">
        <v>79</v>
      </c>
      <c r="M7" s="31">
        <v>70</v>
      </c>
      <c r="N7" s="31" t="s">
        <v>298</v>
      </c>
      <c r="Q7" s="1" t="s">
        <v>281</v>
      </c>
      <c r="R7" s="23" t="s">
        <v>92</v>
      </c>
      <c r="S7" s="23" t="s">
        <v>92</v>
      </c>
      <c r="T7" s="23" t="s">
        <v>92</v>
      </c>
      <c r="U7" s="23" t="s">
        <v>92</v>
      </c>
      <c r="V7" s="23">
        <v>36</v>
      </c>
      <c r="W7" s="23">
        <v>48</v>
      </c>
      <c r="X7" s="23">
        <v>62</v>
      </c>
      <c r="Y7" s="23">
        <v>95</v>
      </c>
      <c r="Z7" s="23">
        <v>105</v>
      </c>
    </row>
    <row r="8" spans="1:26" x14ac:dyDescent="0.25">
      <c r="A8" s="25">
        <v>353511350230</v>
      </c>
      <c r="B8" s="31" t="s">
        <v>217</v>
      </c>
      <c r="C8" s="31" t="s">
        <v>42</v>
      </c>
      <c r="D8" s="31" t="s">
        <v>7</v>
      </c>
      <c r="E8" s="31" t="s">
        <v>218</v>
      </c>
      <c r="F8" s="31" t="s">
        <v>131</v>
      </c>
      <c r="G8" s="31"/>
      <c r="H8" s="31">
        <v>900</v>
      </c>
      <c r="I8" s="31" t="s">
        <v>82</v>
      </c>
      <c r="J8" s="31">
        <v>260</v>
      </c>
      <c r="K8" s="23" t="s">
        <v>80</v>
      </c>
      <c r="L8" s="31" t="s">
        <v>79</v>
      </c>
      <c r="M8" s="31">
        <v>102</v>
      </c>
      <c r="N8" s="31" t="s">
        <v>298</v>
      </c>
      <c r="Q8" s="1" t="s">
        <v>282</v>
      </c>
      <c r="R8" s="23" t="s">
        <v>92</v>
      </c>
      <c r="S8" s="23" t="s">
        <v>92</v>
      </c>
      <c r="T8" s="23" t="s">
        <v>92</v>
      </c>
      <c r="U8" s="23" t="s">
        <v>92</v>
      </c>
      <c r="V8" s="23">
        <v>15</v>
      </c>
      <c r="W8" s="23">
        <v>21</v>
      </c>
      <c r="X8" s="23">
        <v>26</v>
      </c>
      <c r="Y8" s="23">
        <v>40</v>
      </c>
      <c r="Z8" s="23">
        <v>45</v>
      </c>
    </row>
    <row r="9" spans="1:26" x14ac:dyDescent="0.25">
      <c r="A9" s="25">
        <v>353511350330</v>
      </c>
      <c r="B9" s="31" t="s">
        <v>219</v>
      </c>
      <c r="C9" s="31" t="s">
        <v>42</v>
      </c>
      <c r="D9" s="31" t="s">
        <v>7</v>
      </c>
      <c r="E9" s="31" t="s">
        <v>220</v>
      </c>
      <c r="F9" s="31" t="s">
        <v>131</v>
      </c>
      <c r="G9" s="31"/>
      <c r="H9" s="31">
        <v>900</v>
      </c>
      <c r="I9" s="31" t="s">
        <v>82</v>
      </c>
      <c r="J9" s="31">
        <v>360</v>
      </c>
      <c r="K9" s="23" t="s">
        <v>80</v>
      </c>
      <c r="L9" s="31" t="s">
        <v>79</v>
      </c>
      <c r="M9" s="31">
        <v>102</v>
      </c>
      <c r="N9" s="31" t="s">
        <v>298</v>
      </c>
    </row>
    <row r="10" spans="1:26" x14ac:dyDescent="0.25">
      <c r="A10" s="25">
        <v>353511560600</v>
      </c>
      <c r="B10" s="31" t="s">
        <v>221</v>
      </c>
      <c r="C10" s="31" t="s">
        <v>42</v>
      </c>
      <c r="D10" s="31" t="s">
        <v>7</v>
      </c>
      <c r="E10" s="31" t="s">
        <v>222</v>
      </c>
      <c r="F10" s="31" t="s">
        <v>131</v>
      </c>
      <c r="G10" s="31"/>
      <c r="H10" s="31">
        <v>800</v>
      </c>
      <c r="I10" s="31" t="s">
        <v>82</v>
      </c>
      <c r="J10" s="31">
        <v>500</v>
      </c>
      <c r="K10" s="36" t="s">
        <v>166</v>
      </c>
      <c r="L10" s="31" t="s">
        <v>79</v>
      </c>
      <c r="M10" s="31">
        <v>114</v>
      </c>
      <c r="N10" s="31" t="s">
        <v>298</v>
      </c>
    </row>
    <row r="11" spans="1:26" x14ac:dyDescent="0.25">
      <c r="A11" s="25">
        <v>353511570800</v>
      </c>
      <c r="B11" s="31" t="s">
        <v>223</v>
      </c>
      <c r="C11" s="31" t="s">
        <v>42</v>
      </c>
      <c r="D11" s="31" t="s">
        <v>7</v>
      </c>
      <c r="E11" s="31" t="s">
        <v>224</v>
      </c>
      <c r="F11" s="31" t="s">
        <v>131</v>
      </c>
      <c r="G11" s="31"/>
      <c r="H11" s="31">
        <v>800</v>
      </c>
      <c r="I11" s="31" t="s">
        <v>82</v>
      </c>
      <c r="J11" s="31">
        <v>650</v>
      </c>
      <c r="K11" s="36" t="s">
        <v>166</v>
      </c>
      <c r="L11" s="31" t="s">
        <v>79</v>
      </c>
      <c r="M11" s="31">
        <v>159</v>
      </c>
      <c r="N11" s="31" t="s">
        <v>298</v>
      </c>
    </row>
    <row r="12" spans="1:26" x14ac:dyDescent="0.25">
      <c r="A12" s="25">
        <v>353511581000</v>
      </c>
      <c r="B12" s="31" t="s">
        <v>225</v>
      </c>
      <c r="C12" s="31" t="s">
        <v>42</v>
      </c>
      <c r="D12" s="31" t="s">
        <v>7</v>
      </c>
      <c r="E12" s="31" t="s">
        <v>226</v>
      </c>
      <c r="F12" s="31" t="s">
        <v>131</v>
      </c>
      <c r="G12" s="31"/>
      <c r="H12" s="31">
        <v>800</v>
      </c>
      <c r="I12" s="31" t="s">
        <v>82</v>
      </c>
      <c r="J12" s="31">
        <v>850</v>
      </c>
      <c r="K12" s="36" t="s">
        <v>166</v>
      </c>
      <c r="L12" s="31" t="s">
        <v>79</v>
      </c>
      <c r="M12" s="31">
        <v>159</v>
      </c>
      <c r="N12" s="31" t="s">
        <v>298</v>
      </c>
    </row>
    <row r="13" spans="1:26" ht="17.25" x14ac:dyDescent="0.3">
      <c r="A13" s="43" t="s">
        <v>232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</row>
    <row r="14" spans="1:26" ht="17.25" x14ac:dyDescent="0.3">
      <c r="A14" s="43" t="s">
        <v>233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</row>
    <row r="15" spans="1:26" ht="45" x14ac:dyDescent="0.25">
      <c r="A15" s="32" t="s">
        <v>129</v>
      </c>
      <c r="B15" s="31" t="s">
        <v>1</v>
      </c>
      <c r="C15" s="31" t="s">
        <v>3</v>
      </c>
      <c r="D15" s="4" t="s">
        <v>6</v>
      </c>
      <c r="E15" s="4" t="s">
        <v>5</v>
      </c>
      <c r="F15" s="4" t="s">
        <v>136</v>
      </c>
      <c r="G15" s="5" t="s">
        <v>229</v>
      </c>
      <c r="H15" s="5" t="s">
        <v>228</v>
      </c>
      <c r="I15" s="5" t="s">
        <v>207</v>
      </c>
      <c r="J15" s="5" t="s">
        <v>230</v>
      </c>
      <c r="K15" s="31" t="s">
        <v>206</v>
      </c>
      <c r="L15" s="5" t="s">
        <v>77</v>
      </c>
      <c r="M15" s="5" t="s">
        <v>231</v>
      </c>
      <c r="N15" s="5" t="s">
        <v>0</v>
      </c>
    </row>
    <row r="16" spans="1:26" ht="30" x14ac:dyDescent="0.25">
      <c r="A16" s="25">
        <v>353521200000</v>
      </c>
      <c r="B16" s="31" t="s">
        <v>235</v>
      </c>
      <c r="C16" s="31" t="s">
        <v>234</v>
      </c>
      <c r="D16" s="31" t="s">
        <v>7</v>
      </c>
      <c r="E16" s="31" t="s">
        <v>236</v>
      </c>
      <c r="F16" s="31" t="s">
        <v>131</v>
      </c>
      <c r="G16" s="31"/>
      <c r="H16" s="31"/>
      <c r="I16" s="31" t="s">
        <v>82</v>
      </c>
      <c r="J16" s="31"/>
      <c r="K16" s="32" t="s">
        <v>243</v>
      </c>
      <c r="L16" s="31" t="s">
        <v>79</v>
      </c>
      <c r="M16" s="31"/>
      <c r="N16" s="31" t="s">
        <v>297</v>
      </c>
    </row>
    <row r="17" spans="1:14" ht="45" x14ac:dyDescent="0.25">
      <c r="A17" s="25">
        <v>353521200100</v>
      </c>
      <c r="B17" s="31" t="s">
        <v>237</v>
      </c>
      <c r="C17" s="31" t="s">
        <v>234</v>
      </c>
      <c r="D17" s="31" t="s">
        <v>7</v>
      </c>
      <c r="E17" s="31" t="s">
        <v>238</v>
      </c>
      <c r="F17" s="31" t="s">
        <v>131</v>
      </c>
      <c r="G17" s="31"/>
      <c r="H17" s="31"/>
      <c r="I17" s="31" t="s">
        <v>82</v>
      </c>
      <c r="J17" s="31"/>
      <c r="K17" s="32" t="s">
        <v>244</v>
      </c>
      <c r="L17" s="31" t="s">
        <v>79</v>
      </c>
      <c r="M17" s="31"/>
      <c r="N17" s="31" t="s">
        <v>297</v>
      </c>
    </row>
    <row r="18" spans="1:14" ht="45" x14ac:dyDescent="0.25">
      <c r="A18" s="25">
        <v>353521200257</v>
      </c>
      <c r="B18" s="31" t="s">
        <v>239</v>
      </c>
      <c r="C18" s="31" t="s">
        <v>234</v>
      </c>
      <c r="D18" s="31" t="s">
        <v>7</v>
      </c>
      <c r="E18" s="31" t="s">
        <v>240</v>
      </c>
      <c r="F18" s="31" t="s">
        <v>131</v>
      </c>
      <c r="G18" s="31"/>
      <c r="H18" s="31"/>
      <c r="I18" s="31" t="s">
        <v>82</v>
      </c>
      <c r="J18" s="31"/>
      <c r="K18" s="32" t="s">
        <v>244</v>
      </c>
      <c r="L18" s="31" t="s">
        <v>79</v>
      </c>
      <c r="M18" s="31"/>
      <c r="N18" s="31" t="s">
        <v>297</v>
      </c>
    </row>
    <row r="19" spans="1:14" ht="45" x14ac:dyDescent="0.25">
      <c r="A19" s="25">
        <v>353521201157</v>
      </c>
      <c r="B19" s="31" t="s">
        <v>241</v>
      </c>
      <c r="C19" s="31" t="s">
        <v>234</v>
      </c>
      <c r="D19" s="31" t="s">
        <v>7</v>
      </c>
      <c r="E19" s="31" t="s">
        <v>242</v>
      </c>
      <c r="F19" s="31" t="s">
        <v>131</v>
      </c>
      <c r="G19" s="31"/>
      <c r="H19" s="31"/>
      <c r="I19" s="31" t="s">
        <v>82</v>
      </c>
      <c r="J19" s="31"/>
      <c r="K19" s="32" t="s">
        <v>244</v>
      </c>
      <c r="L19" s="31" t="s">
        <v>79</v>
      </c>
      <c r="M19" s="31"/>
      <c r="N19" s="31" t="s">
        <v>297</v>
      </c>
    </row>
    <row r="20" spans="1:14" ht="17.25" x14ac:dyDescent="0.3">
      <c r="A20" s="43" t="s">
        <v>245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</row>
    <row r="21" spans="1:14" ht="45" x14ac:dyDescent="0.25">
      <c r="A21" s="32" t="s">
        <v>129</v>
      </c>
      <c r="B21" s="31" t="s">
        <v>1</v>
      </c>
      <c r="C21" s="31" t="s">
        <v>3</v>
      </c>
      <c r="D21" s="4" t="s">
        <v>6</v>
      </c>
      <c r="E21" s="4" t="s">
        <v>5</v>
      </c>
      <c r="F21" s="4" t="s">
        <v>136</v>
      </c>
      <c r="G21" s="5" t="s">
        <v>229</v>
      </c>
      <c r="H21" s="5" t="s">
        <v>228</v>
      </c>
      <c r="I21" s="5" t="s">
        <v>207</v>
      </c>
      <c r="J21" s="5" t="s">
        <v>230</v>
      </c>
      <c r="K21" s="31" t="s">
        <v>206</v>
      </c>
      <c r="L21" s="5" t="s">
        <v>77</v>
      </c>
      <c r="M21" s="5" t="s">
        <v>231</v>
      </c>
      <c r="N21" s="5" t="s">
        <v>0</v>
      </c>
    </row>
    <row r="22" spans="1:14" x14ac:dyDescent="0.25">
      <c r="A22" s="25">
        <v>353531111200</v>
      </c>
      <c r="B22" s="31" t="s">
        <v>246</v>
      </c>
      <c r="C22" s="31" t="s">
        <v>43</v>
      </c>
      <c r="D22" s="31" t="s">
        <v>7</v>
      </c>
      <c r="E22" s="31" t="s">
        <v>247</v>
      </c>
      <c r="F22" s="31" t="s">
        <v>131</v>
      </c>
      <c r="G22" s="31"/>
      <c r="H22" s="31"/>
      <c r="I22" s="4" t="s">
        <v>82</v>
      </c>
      <c r="J22" s="31"/>
      <c r="K22" s="31" t="s">
        <v>81</v>
      </c>
      <c r="L22" s="31" t="s">
        <v>79</v>
      </c>
      <c r="M22" s="31"/>
      <c r="N22" s="31" t="s">
        <v>297</v>
      </c>
    </row>
    <row r="23" spans="1:14" x14ac:dyDescent="0.25">
      <c r="A23" s="25">
        <v>353531111300</v>
      </c>
      <c r="B23" s="31" t="s">
        <v>248</v>
      </c>
      <c r="C23" s="31" t="s">
        <v>43</v>
      </c>
      <c r="D23" s="31" t="s">
        <v>7</v>
      </c>
      <c r="E23" s="31" t="s">
        <v>249</v>
      </c>
      <c r="F23" s="31" t="s">
        <v>131</v>
      </c>
      <c r="G23" s="31"/>
      <c r="H23" s="31"/>
      <c r="I23" s="4" t="s">
        <v>82</v>
      </c>
      <c r="J23" s="31"/>
      <c r="K23" s="31" t="s">
        <v>81</v>
      </c>
      <c r="L23" s="31" t="s">
        <v>79</v>
      </c>
      <c r="M23" s="31"/>
      <c r="N23" s="31" t="s">
        <v>297</v>
      </c>
    </row>
    <row r="24" spans="1:14" x14ac:dyDescent="0.25">
      <c r="D24" s="35"/>
    </row>
    <row r="25" spans="1:14" x14ac:dyDescent="0.25">
      <c r="D25" s="35"/>
    </row>
    <row r="26" spans="1:14" x14ac:dyDescent="0.25">
      <c r="D26" s="35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</sheetData>
  <mergeCells count="6">
    <mergeCell ref="Q2:Z2"/>
    <mergeCell ref="A1:N1"/>
    <mergeCell ref="A2:N2"/>
    <mergeCell ref="A13:N13"/>
    <mergeCell ref="A14:N14"/>
    <mergeCell ref="A20:N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Lamel Bileşenleri</vt:lpstr>
      <vt:lpstr>Kutu Bileşenleri</vt:lpstr>
      <vt:lpstr>Dikme Bileşenleri</vt:lpstr>
      <vt:lpstr>Motorlar ve Kontrol Grubu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2025-11-05T13:31:41Z</dcterms:modified>
</cp:coreProperties>
</file>